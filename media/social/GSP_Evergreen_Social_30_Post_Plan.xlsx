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dcec71500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61be749b8c714c62"/>
    <x:sheet xmlns:r="http://schemas.openxmlformats.org/officeDocument/2006/relationships" name="Editorial Queue" sheetId="2" r:id="Rfb42186f78704895"/>
    <x:sheet xmlns:r="http://schemas.openxmlformats.org/officeDocument/2006/relationships" name="Graphic Formats" sheetId="3" r:id="R841c6ea4c99f45e7"/>
    <x:sheet xmlns:r="http://schemas.openxmlformats.org/officeDocument/2006/relationships" name="Verified Fact Bank" sheetId="4" r:id="R040d72dd64394ff3"/>
    <x:sheet xmlns:r="http://schemas.openxmlformats.org/officeDocument/2006/relationships" name="Publish Checks" sheetId="5" r:id="Rc33e8d712871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0E5146"/>
      <x:name val="Carlito"/>
    </x:font>
    <x:font>
      <x:b/>
      <x:sz val="11"/>
      <x:color rgb="FFFFFFFF"/>
      <x:name val="Carlito"/>
    </x:font>
    <x:font>
      <x:b/>
      <x:sz val="23"/>
      <x:color rgb="FFFFFFFF"/>
      <x:name val="Carlito"/>
    </x:font>
    <x:font>
      <x:sz val="11"/>
      <x:color rgb="FF192E3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5146"/>
      </x:patternFill>
    </x:fill>
    <x:fill>
      <x:patternFill patternType="solid">
        <x:fgColor rgb="FFE9F0EB"/>
      </x:patternFill>
    </x:fill>
    <x:fill>
      <x:patternFill patternType="solid">
        <x:fgColor rgb="FFF8F7F2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e571c60f54b68" /><Relationship Type="http://schemas.openxmlformats.org/officeDocument/2006/relationships/theme" Target="/xl/theme/theme1.xml" Id="R7b030944b6e44f5c" /><Relationship Type="http://schemas.openxmlformats.org/officeDocument/2006/relationships/sharedStrings" Target="/xl/sharedStrings.xml" Id="Rc1b2f468b04243cb" /><Relationship Type="http://schemas.openxmlformats.org/officeDocument/2006/relationships/worksheet" Target="/xl/worksheets/sheet1.xml" Id="R61be749b8c714c62" /><Relationship Type="http://schemas.openxmlformats.org/officeDocument/2006/relationships/worksheet" Target="/xl/worksheets/sheet2.xml" Id="Rfb42186f78704895" /><Relationship Type="http://schemas.openxmlformats.org/officeDocument/2006/relationships/worksheet" Target="/xl/worksheets/sheet3.xml" Id="R841c6ea4c99f45e7" /><Relationship Type="http://schemas.openxmlformats.org/officeDocument/2006/relationships/worksheet" Target="/xl/worksheets/sheet4.xml" Id="R040d72dd64394ff3" /><Relationship Type="http://schemas.openxmlformats.org/officeDocument/2006/relationships/worksheet" Target="/xl/worksheets/sheet5.xml" Id="Rc33e8d71287148ad" /></Relationships>
</file>

<file path=xl/tables/table1.xml><?xml version="1.0" encoding="utf-8"?>
<x:table xmlns:x="http://schemas.openxmlformats.org/spreadsheetml/2006/main" id="1" name="GSPContentQueue" displayName="GSPContentQueue" ref="A4:R34" headerRowCount="1" totalsRowCount="0" totalsRowShown="0">
  <x:tableColumns count="18">
    <x:tableColumn id="1" name="ID"/>
    <x:tableColumn id="2" name="Proposed week"/>
    <x:tableColumn id="3" name="Optional day"/>
    <x:tableColumn id="4" name="Series"/>
    <x:tableColumn id="5" name="Working headline"/>
    <x:tableColumn id="6" name="On-art headline"/>
    <x:tableColumn id="7" name="Exit(s)"/>
    <x:tableColumn id="8" name="Source FID(s)"/>
    <x:tableColumn id="9" name="Source-supported fact / claim"/>
    <x:tableColumn id="10" name="Visual recipe"/>
    <x:tableColumn id="11" name="Format master"/>
    <x:tableColumn id="12" name="Facebook / IG emphasis"/>
    <x:tableColumn id="13" name="Vertical video treatment"/>
    <x:tableColumn id="14" name="Audience question"/>
    <x:tableColumn id="15" name="Copy/geometry guardrail"/>
    <x:tableColumn id="16" name="Human owner"/>
    <x:tableColumn id="17" name="Production status"/>
    <x:tableColumn id="18" name="NJDOT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PFacts" displayName="GSPFacts" ref="A1:G11" headerRowCount="1" totalsRowCount="0" totalsRowShown="0">
  <x:tableColumns count="7">
    <x:tableColumn id="1" name="Post use"/>
    <x:tableColumn id="2" name="Exit / group"/>
    <x:tableColumn id="3" name="Source FID"/>
    <x:tableColumn id="4" name="Publishable wording after review"/>
    <x:tableColumn id="5" name="Exact / derived measurement"/>
    <x:tableColumn id="6" name="Caveat / do not imply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9cbb45bd114e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6ea1ffed3344437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3" hidden="0" customWidth="1"/>
    <x:col min="4" max="4" width="26" hidden="0" customWidth="1"/>
    <x:col min="5" max="5" width="14" hidden="0" customWidth="1"/>
    <x:col min="6" max="6" width="3" hidden="0" customWidth="1"/>
    <x:col min="7" max="7" width="22" hidden="0" customWidth="1"/>
    <x:col min="8" max="8" width="14" hidden="0" customWidth="1"/>
    <x:col min="9" max="9" width="11" hidden="0" customWidth="1"/>
    <x:col min="10" max="10" width="11" hidden="0" customWidth="1"/>
  </x:cols>
  <x:sheetData>
    <x:row r="1" ht="24" customHeight="1">
      <x:c r="A1" s="19" t="str">
        <x:v>THE SHAPE OF A TURN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4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</x:row>
    <x:row r="3" ht="28" customHeight="1">
      <x:c r="A3" s="7" t="str">
        <x:v>NJ PBS evergreen social series  |  30 graphics and videos  |  Full Parkway, 172–0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1" t="str">
        <x:v>Planning metric</x:v>
      </x:c>
      <x:c r="B5" s="11" t="str">
        <x:v>Target / current</x:v>
      </x:c>
      <x:c r="D5" s="11" t="str">
        <x:v>Series</x:v>
      </x:c>
      <x:c r="E5" s="11" t="str">
        <x:v>Ideas</x:v>
      </x:c>
      <x:c r="G5" s="11" t="str">
        <x:v>Production stage</x:v>
      </x:c>
      <x:c r="H5" s="11" t="str">
        <x:v>Count</x:v>
      </x:c>
    </x:row>
    <x:row r="6">
      <x:c r="A6" t="str">
        <x:v>Queued concepts</x:v>
      </x:c>
      <x:c r="B6" t="n">
        <x:f>COUNTA('Editorial Queue'!A5:A34)</x:f>
        <x:v>30</x:v>
      </x:c>
      <x:c r="D6" t="str">
        <x:v>Ramp portrait</x:v>
      </x:c>
      <x:c r="E6" t="n">
        <x:f>COUNTIF('Editorial Queue'!D$5:D$34,D6)</x:f>
        <x:v>10</x:v>
      </x:c>
      <x:c r="G6" t="str">
        <x:v>Concept</x:v>
      </x:c>
      <x:c r="H6" t="n">
        <x:f>COUNTIF('Editorial Queue'!Q$5:Q$34,G6)</x:f>
        <x:v>30</x:v>
      </x:c>
    </x:row>
    <x:row r="7">
      <x:c r="A7" t="str">
        <x:v>Selected GIF / MP4 assets</x:v>
      </x:c>
      <x:c r="B7" t="n">
        <x:f>COUNTIF('Editorial Queue'!D5:D34,"Motion")</x:f>
        <x:v>4</x:v>
      </x:c>
      <x:c r="D7" t="str">
        <x:v>Superlative</x:v>
      </x:c>
      <x:c r="E7" t="n">
        <x:f>COUNTIF('Editorial Queue'!D$5:D$34,D7)</x:f>
        <x:v>6</x:v>
      </x:c>
      <x:c r="G7" t="str">
        <x:v>Data review</x:v>
      </x:c>
      <x:c r="H7" t="n">
        <x:f>COUNTIF('Editorial Queue'!Q$5:Q$34,G7)</x:f>
        <x:v>0</x:v>
      </x:c>
    </x:row>
    <x:row r="8">
      <x:c r="A8" t="str">
        <x:v>GIS paths in current study</x:v>
      </x:c>
      <x:c r="B8" t="n">
        <x:v>359</x:v>
      </x:c>
      <x:c r="D8" t="str">
        <x:v>Shape comparison</x:v>
      </x:c>
      <x:c r="E8" t="n">
        <x:f>COUNTIF('Editorial Queue'!D$5:D$34,D8)</x:f>
        <x:v>6</x:v>
      </x:c>
      <x:c r="G8" t="str">
        <x:v>Design</x:v>
      </x:c>
      <x:c r="H8" t="n">
        <x:f>COUNTIF('Editorial Queue'!Q$5:Q$34,G8)</x:f>
        <x:v>0</x:v>
      </x:c>
    </x:row>
    <x:row r="9">
      <x:c r="A9" t="str">
        <x:v>Source snapshot</x:v>
      </x:c>
      <x:c r="B9" t="str">
        <x:v>Aug. 21, 2025</x:v>
      </x:c>
      <x:c r="D9" t="str">
        <x:v>County gallery</x:v>
      </x:c>
      <x:c r="E9" t="n">
        <x:f>COUNTIF('Editorial Queue'!D$5:D$34,D9)</x:f>
        <x:v>4</x:v>
      </x:c>
      <x:c r="G9" t="str">
        <x:v>Copy review</x:v>
      </x:c>
      <x:c r="H9" t="n">
        <x:f>COUNTIF('Editorial Queue'!Q$5:Q$34,G9)</x:f>
        <x:v>0</x:v>
      </x:c>
    </x:row>
    <x:row r="10">
      <x:c r="A10" t="str">
        <x:v>Proposed cadence</x:v>
      </x:c>
      <x:c r="B10" t="str">
        <x:v>1 post/week; optional 2/week</x:v>
      </x:c>
      <x:c r="D10" t="str">
        <x:v>Motion</x:v>
      </x:c>
      <x:c r="E10" t="n">
        <x:f>COUNTIF('Editorial Queue'!D$5:D$34,D10)</x:f>
        <x:v>4</x:v>
      </x:c>
      <x:c r="G10" t="str">
        <x:v>Ready</x:v>
      </x:c>
      <x:c r="H10" t="n">
        <x:f>COUNTIF('Editorial Queue'!Q$5:Q$34,G10)</x:f>
        <x:v>0</x:v>
      </x:c>
    </x:row>
    <x:row r="11">
      <x:c r="A11" t="str">
        <x:v>Estimated publishing runway</x:v>
      </x:c>
      <x:c r="B11" t="str">
        <x:v>30 weeks / 15 weeks</x:v>
      </x:c>
      <x:c r="G11" t="str">
        <x:v>Scheduled</x:v>
      </x:c>
      <x:c r="H11" t="n">
        <x:f>COUNTIF('Editorial Queue'!Q$5:Q$34,G11)</x:f>
        <x:v>0</x:v>
      </x:c>
    </x:row>
    <x:row r="12">
      <x:c r="G12" t="str">
        <x:v>Published</x:v>
      </x:c>
      <x:c r="H12" t="n">
        <x:f>COUNTIF('Editorial Queue'!Q$5:Q$34,G12)</x:f>
        <x:v>0</x:v>
      </x:c>
    </x:row>
    <x:row r="13">
      <x:c r="G13" t="str">
        <x:v>Hold</x:v>
      </x:c>
      <x:c r="H13" t="n">
        <x:f>COUNTIF('Editorial Queue'!Q$5:Q$34,G13)</x:f>
        <x:v>0</x:v>
      </x:c>
    </x:row>
    <x:row r="15" ht="32" customHeight="1">
      <x:c r="A15" s="11" t="str">
        <x:v>EDITORIAL STRUCTURE</x:v>
      </x:c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25" customHeight="1">
      <x:c r="A16" s="23" t="str">
        <x:v>01    Start with the actual roadway shape and a familiar exit number, not an abstract stat graphic.</x:v>
      </x:c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 ht="25" customHeight="1">
      <x:c r="A17" s="27" t="str">
        <x:v>02    Use one distinctive measurement per post; put deep source methodology in captions or a second slide.</x:v>
      </x:c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5" customHeight="1">
      <x:c r="A18" s="23" t="str">
        <x:v>03    Never call a selected feeder the entire ramp, or geometric footprint the paved roadway width.</x:v>
      </x:c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 ht="25" customHeight="1">
      <x:c r="A19" s="27" t="str">
        <x:v>04    For loops and curvature, distinguish estimated measurements from engineering design radii.</x:v>
      </x:c>
      <x:c r="B19" s="27"/>
      <x:c r="C19" s="27"/>
      <x:c r="D19" s="27"/>
      <x:c r="E19" s="27"/>
      <x:c r="F19" s="27"/>
      <x:c r="G19" s="27"/>
      <x:c r="H19" s="27"/>
      <x:c r="I19" s="27"/>
      <x:c r="J19" s="27"/>
    </x:row>
    <x:row r="20" ht="25" customHeight="1">
      <x:c r="A20" s="23" t="str">
        <x:v>05    Build once using GIS vectors. Export 4:5 feed/carousel, optional 9:16 animated variant, and accessible alt text.</x:v>
      </x:c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 ht="25" customHeight="1">
      <x:c r="A21" s="27" t="str">
        <x:v>06    Plan at a weekly cadence; increase only when audience response and newsroom workload justify it.</x:v>
      </x:c>
      <x:c r="B21" s="27"/>
      <x:c r="C21" s="27"/>
      <x:c r="D21" s="27"/>
      <x:c r="E21" s="27"/>
      <x:c r="F21" s="27"/>
      <x:c r="G21" s="27"/>
      <x:c r="H21" s="27"/>
      <x:c r="I21" s="27"/>
      <x:c r="J21" s="27"/>
    </x:row>
    <x:row r="22" ht="25" customHeight="1">
      <x:c r="A22" s="23" t="str">
        <x:v>07    Refresh editorial claims before publication if roadway changes, construction, or sign wording might matter.</x:v>
      </x:c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 ht="25" customHeight="1">
      <x:c r="A23" s="27" t="str">
        <x:v>08    Each design passes human newsroom review before changing status to Ready; no automatic publishing.</x:v>
      </x:c>
      <x:c r="B23" s="27"/>
      <x:c r="C23" s="27"/>
      <x:c r="D23" s="27"/>
      <x:c r="E23" s="27"/>
      <x:c r="F23" s="27"/>
      <x:c r="G23" s="27"/>
      <x:c r="H23" s="27"/>
      <x:c r="I23" s="27"/>
      <x:c r="J23" s="27"/>
    </x:row>
  </x:sheetData>
  <x:mergeCells>
    <x:mergeCell ref="A1:J2"/>
    <x:mergeCell ref="A3:J3"/>
    <x:mergeCell ref="A15:J15"/>
    <x:mergeCell ref="A16:J16"/>
    <x:mergeCell ref="A17:J17"/>
    <x:mergeCell ref="A18:J18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1" hidden="0" customWidth="1"/>
    <x:col min="4" max="4" width="21" hidden="0" customWidth="1"/>
    <x:col min="5" max="5" width="34" hidden="0" customWidth="1"/>
    <x:col min="6" max="6" width="28" hidden="0" customWidth="1"/>
    <x:col min="7" max="7" width="23" hidden="0" customWidth="1"/>
    <x:col min="8" max="8" width="21" hidden="0" customWidth="1"/>
    <x:col min="9" max="9" width="53" hidden="0" customWidth="1"/>
    <x:col min="10" max="10" width="46" hidden="0" customWidth="1"/>
    <x:col min="11" max="11" width="24" hidden="0" customWidth="1"/>
    <x:col min="12" max="12" width="37" hidden="0" customWidth="1"/>
    <x:col min="13" max="13" width="33" hidden="0" customWidth="1"/>
    <x:col min="14" max="14" width="35" hidden="0" customWidth="1"/>
    <x:col min="15" max="15" width="55" hidden="0" customWidth="1"/>
    <x:col min="16" max="16" width="30" hidden="0" customWidth="1"/>
    <x:col min="17" max="17" width="17" hidden="0" customWidth="1"/>
    <x:col min="18" max="18" width="49" hidden="0" customWidth="1"/>
  </x:cols>
  <x:sheetData>
    <x:row r="1" ht="35" customHeight="1">
      <x:c r="A1" s="3" t="str">
        <x:v>THE SHAPE OF A TURN  |  30-POST EVERGREEN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8" customHeight="1">
      <x:c r="A2" s="7" t="str">
        <x:v>Publish slots are relative, not booked dates. One per week is the low-lift baseline; Tue/Fri slots allow a 15-week twice-weekly run. All claims require human editorial approval.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2" customHeight="1">
      <x:c r="A4" s="11" t="str">
        <x:v>ID</x:v>
      </x:c>
      <x:c r="B4" s="11" t="str">
        <x:v>Proposed week</x:v>
      </x:c>
      <x:c r="C4" s="11" t="str">
        <x:v>Optional day</x:v>
      </x:c>
      <x:c r="D4" s="11" t="str">
        <x:v>Series</x:v>
      </x:c>
      <x:c r="E4" s="11" t="str">
        <x:v>Working headline</x:v>
      </x:c>
      <x:c r="F4" s="11" t="str">
        <x:v>On-art headline</x:v>
      </x:c>
      <x:c r="G4" s="11" t="str">
        <x:v>Exit(s)</x:v>
      </x:c>
      <x:c r="H4" s="11" t="str">
        <x:v>Source FID(s)</x:v>
      </x:c>
      <x:c r="I4" s="11" t="str">
        <x:v>Source-supported fact / claim</x:v>
      </x:c>
      <x:c r="J4" s="11" t="str">
        <x:v>Visual recipe</x:v>
      </x:c>
      <x:c r="K4" s="11" t="str">
        <x:v>Format master</x:v>
      </x:c>
      <x:c r="L4" s="11" t="str">
        <x:v>Facebook / IG emphasis</x:v>
      </x:c>
      <x:c r="M4" s="11" t="str">
        <x:v>Vertical video treatment</x:v>
      </x:c>
      <x:c r="N4" s="11" t="str">
        <x:v>Audience question</x:v>
      </x:c>
      <x:c r="O4" s="11" t="str">
        <x:v>Copy/geometry guardrail</x:v>
      </x:c>
      <x:c r="P4" s="11" t="str">
        <x:v>Human owner</x:v>
      </x:c>
      <x:c r="Q4" s="11" t="str">
        <x:v>Production status</x:v>
      </x:c>
      <x:c r="R4" s="11" t="str">
        <x:v>NJDOT source URL</x:v>
      </x:c>
    </x:row>
    <x:row r="5" ht="39" customHeight="1">
      <x:c r="A5" s="14" t="str">
        <x:v>01</x:v>
      </x:c>
      <x:c r="B5" t="str">
        <x:v>Week 01</x:v>
      </x:c>
      <x:c r="C5" t="str">
        <x:v>Tue</x:v>
      </x:c>
      <x:c r="D5" t="str">
        <x:v>Ramp portrait</x:v>
      </x:c>
      <x:c r="E5" s="16" t="str">
        <x:v>Exit 165A in a single line</x:v>
      </x:c>
      <x:c r="F5" s="16" t="str">
        <x:v>EXIT 165A | Ridgewood Ave</x:v>
      </x:c>
      <x:c r="G5" t="str">
        <x:v>165A</x:v>
      </x:c>
      <x:c r="H5" t="str">
        <x:v>5745</x:v>
      </x:c>
      <x:c r="I5" s="16" t="str">
        <x:v>961-foot southbound selected exit branch</x:v>
      </x:c>
      <x:c r="J5" s="16" t="str">
        <x:v>Large isolated loop with tiny Bergen locator</x:v>
      </x:c>
      <x:c r="K5" t="str">
        <x:v>1080×1350 feed</x:v>
      </x:c>
      <x:c r="L5" t="str">
        <x:v>Locally recognizable exit + descriptive caption</x:v>
      </x:c>
      <x:c r="M5" t="str">
        <x:v>No video required</x:v>
      </x:c>
      <x:c r="N5" s="16" t="str">
        <x:v>Recognize this turn?</x:v>
      </x:c>
      <x:c r="O5" s="16" t="str">
        <x:v>Show selected centerline only; not full interchange</x:v>
      </x:c>
      <x:c r="P5" s="16" t="str">
        <x:v>Graphics producer + digital producer</x:v>
      </x:c>
      <x:c r="Q5" s="16" t="str">
        <x:v>Concept</x:v>
      </x:c>
      <x:c r="R5" t="str">
        <x:v>https://www.nj.gov/transportation/refdata/gis/data.shtm</x:v>
      </x:c>
    </x:row>
    <x:row r="6" ht="39" customHeight="1">
      <x:c r="A6" s="14" t="str">
        <x:v>02</x:v>
      </x:c>
      <x:c r="B6" t="str">
        <x:v>Week 01</x:v>
      </x:c>
      <x:c r="C6" t="str">
        <x:v>Fri</x:v>
      </x:c>
      <x:c r="D6" t="str">
        <x:v>Motion</x:v>
      </x:c>
      <x:c r="E6" s="16" t="str">
        <x:v>How 39 Parkway shapes unfold</x:v>
      </x:c>
      <x:c r="F6" s="16" t="str">
        <x:v>The shape of a turn</x:v>
      </x:c>
      <x:c r="G6" t="str">
        <x:v>Selected corpus</x:v>
      </x:c>
      <x:c r="H6" t="str"/>
      <x:c r="I6" s="16" t="str">
        <x:v>39 previously curated GIS paths; one north-to-south collection</x:v>
      </x:c>
      <x:c r="J6" s="16" t="str">
        <x:v>15–20s 9:16 real morph: map → paths → grid → map</x:v>
      </x:c>
      <x:c r="K6" t="str">
        <x:v>1080×1920 video</x:v>
      </x:c>
      <x:c r="L6" t="str">
        <x:v>Locally recognizable exit + descriptive caption</x:v>
      </x:c>
      <x:c r="M6" t="str">
        <x:v>9:16 12–25 s, based on GIS coordinate animation</x:v>
      </x:c>
      <x:c r="N6" s="16" t="str">
        <x:v>Which one would you recognize?</x:v>
      </x:c>
      <x:c r="O6" s="16" t="str">
        <x:v>Regenerate from GIS animation, not illustrative stills</x:v>
      </x:c>
      <x:c r="P6" s="16" t="str">
        <x:v>Motion designer + digital producer</x:v>
      </x:c>
      <x:c r="Q6" s="16" t="str">
        <x:v>Concept</x:v>
      </x:c>
      <x:c r="R6" t="str">
        <x:v>https://www.nj.gov/transportation/refdata/gis/data.shtm</x:v>
      </x:c>
    </x:row>
    <x:row r="7" ht="39" customHeight="1">
      <x:c r="A7" s="14" t="str">
        <x:v>03</x:v>
      </x:c>
      <x:c r="B7" t="str">
        <x:v>Week 02</x:v>
      </x:c>
      <x:c r="C7" t="str">
        <x:v>Tue</x:v>
      </x:c>
      <x:c r="D7" t="str">
        <x:v>Superlative</x:v>
      </x:c>
      <x:c r="E7" s="16" t="str">
        <x:v>The longest selected path in our Parkway atlas</x:v>
      </x:c>
      <x:c r="F7" s="16" t="str">
        <x:v>EXIT 129 | 11,571 FT</x:v>
      </x:c>
      <x:c r="G7" t="str">
        <x:v>129</x:v>
      </x:c>
      <x:c r="H7" t="str">
        <x:v>3962</x:v>
      </x:c>
      <x:c r="I7" s="16" t="str">
        <x:v>Selected shared connector to/from the Turnpike: 11,570.9 ft</x:v>
      </x:c>
      <x:c r="J7" s="16" t="str">
        <x:v>One dramatic elongated line; common-scale inset beside 165A</x:v>
      </x:c>
      <x:c r="K7" t="str">
        <x:v>1080×1350 feed</x:v>
      </x:c>
      <x:c r="L7" t="str">
        <x:v>Locally recognizable exit + descriptive caption</x:v>
      </x:c>
      <x:c r="M7" t="str">
        <x:v>Optional 9:16 path trace, 8–15 s</x:v>
      </x:c>
      <x:c r="N7" s="16" t="str">
        <x:v>Would you have guessed this one?</x:v>
      </x:c>
      <x:c r="O7" s="16" t="str">
        <x:v>Call it 'selected shared connector', never the Parkway's longest off-ramp</x:v>
      </x:c>
      <x:c r="P7" s="16" t="str">
        <x:v>Graphics producer + digital producer</x:v>
      </x:c>
      <x:c r="Q7" s="16" t="str">
        <x:v>Concept</x:v>
      </x:c>
      <x:c r="R7" t="str">
        <x:v>https://www.nj.gov/transportation/refdata/gis/data.shtm</x:v>
      </x:c>
    </x:row>
    <x:row r="8" ht="39" customHeight="1">
      <x:c r="A8" s="14" t="str">
        <x:v>04</x:v>
      </x:c>
      <x:c r="B8" t="str">
        <x:v>Week 02</x:v>
      </x:c>
      <x:c r="C8" t="str">
        <x:v>Fri</x:v>
      </x:c>
      <x:c r="D8" t="str">
        <x:v>Shape comparison</x:v>
      </x:c>
      <x:c r="E8" s="16" t="str">
        <x:v>Exits 172 and 171, side by side</x:v>
      </x:c>
      <x:c r="F8" s="16" t="str">
        <x:v>172 / 171</x:v>
      </x:c>
      <x:c r="G8" t="str">
        <x:v>172, 171</x:v>
      </x:c>
      <x:c r="H8" t="str">
        <x:v>5527, 5526</x:v>
      </x:c>
      <x:c r="I8" s="16" t="str">
        <x:v>Two Bergen northbound exit paths at 840 ft and 1,415 ft</x:v>
      </x:c>
      <x:c r="J8" s="16" t="str">
        <x:v>Two geometries shown independently fitted, then same scale</x:v>
      </x:c>
      <x:c r="K8" t="str">
        <x:v>1080×1350 feed</x:v>
      </x:c>
      <x:c r="L8" t="str">
        <x:v>Locally recognizable exit + descriptive caption</x:v>
      </x:c>
      <x:c r="M8" t="str">
        <x:v>Optional 9:16 path trace, 8–15 s</x:v>
      </x:c>
      <x:c r="N8" s="16" t="str">
        <x:v>Which is more familiar?</x:v>
      </x:c>
      <x:c r="O8" s="16" t="str">
        <x:v>Different scales need explicit scale switch/annotation</x:v>
      </x:c>
      <x:c r="P8" s="16" t="str">
        <x:v>Graphics producer + digital producer</x:v>
      </x:c>
      <x:c r="Q8" s="16" t="str">
        <x:v>Concept</x:v>
      </x:c>
      <x:c r="R8" t="str">
        <x:v>https://www.nj.gov/transportation/refdata/gis/data.shtm</x:v>
      </x:c>
    </x:row>
    <x:row r="9" ht="39" customHeight="1">
      <x:c r="A9" s="14" t="str">
        <x:v>05</x:v>
      </x:c>
      <x:c r="B9" t="str">
        <x:v>Week 03</x:v>
      </x:c>
      <x:c r="C9" t="str">
        <x:v>Tue</x:v>
      </x:c>
      <x:c r="D9" t="str">
        <x:v>Ramp portrait</x:v>
      </x:c>
      <x:c r="E9" s="16" t="str">
        <x:v>Exit 155A toward Route 19</x:v>
      </x:c>
      <x:c r="F9" s="16" t="str">
        <x:v>EXIT 155A | NJ 19</x:v>
      </x:c>
      <x:c r="G9" t="str">
        <x:v>155A</x:v>
      </x:c>
      <x:c r="H9" t="str">
        <x:v>5501</x:v>
      </x:c>
      <x:c r="I9" s="16" t="str">
        <x:v>Northbound selected exit connector about 2,868 ft</x:v>
      </x:c>
      <x:c r="J9" s="16" t="str">
        <x:v>Long sweeping path plus small Passaic locator</x:v>
      </x:c>
      <x:c r="K9" t="str">
        <x:v>1080×1350 feed</x:v>
      </x:c>
      <x:c r="L9" t="str">
        <x:v>Locally recognizable exit + descriptive caption</x:v>
      </x:c>
      <x:c r="M9" t="str">
        <x:v>No video required</x:v>
      </x:c>
      <x:c r="N9" s="16" t="str">
        <x:v>Have you taken this connection?</x:v>
      </x:c>
      <x:c r="O9" s="16" t="str">
        <x:v>No claim about present-day sign configuration</x:v>
      </x:c>
      <x:c r="P9" s="16" t="str">
        <x:v>Graphics producer + digital producer</x:v>
      </x:c>
      <x:c r="Q9" s="16" t="str">
        <x:v>Concept</x:v>
      </x:c>
      <x:c r="R9" t="str">
        <x:v>https://www.nj.gov/transportation/refdata/gis/data.shtm</x:v>
      </x:c>
    </x:row>
    <x:row r="10" ht="39" customHeight="1">
      <x:c r="A10" s="14" t="str">
        <x:v>06</x:v>
      </x:c>
      <x:c r="B10" t="str">
        <x:v>Week 03</x:v>
      </x:c>
      <x:c r="C10" t="str">
        <x:v>Fri</x:v>
      </x:c>
      <x:c r="D10" t="str">
        <x:v>County gallery</x:v>
      </x:c>
      <x:c r="E10" s="16" t="str">
        <x:v>Parkway turns in Bergen County</x:v>
      </x:c>
      <x:c r="F10" s="16" t="str">
        <x:v>BERGEN COUNTY | Parkway shapes</x:v>
      </x:c>
      <x:c r="G10" t="str">
        <x:v>172, 171, 165A, 159, 157</x:v>
      </x:c>
      <x:c r="H10" t="str">
        <x:v>5527, 5745, 5504, 5725, 5955</x:v>
      </x:c>
      <x:c r="I10" s="16" t="str">
        <x:v>Selected Bergen County ramp paths in the GIS atlas</x:v>
      </x:c>
      <x:c r="J10" s="16" t="str">
        <x:v>5-slide carousel with 5 visually varied Bergen shapes</x:v>
      </x:c>
      <x:c r="K10" t="str">
        <x:v>1080×1350 / 5 slides</x:v>
      </x:c>
      <x:c r="L10" t="str">
        <x:v>First-frame hook + geography in caption</x:v>
      </x:c>
      <x:c r="M10" t="str">
        <x:v>No video required</x:v>
      </x:c>
      <x:c r="N10" s="16" t="str">
        <x:v>Which Bergen exit is yours?</x:v>
      </x:c>
      <x:c r="O10" s="16" t="str">
        <x:v>Final five FIDs selected and checked before production</x:v>
      </x:c>
      <x:c r="P10" s="16" t="str">
        <x:v>Graphics producer + digital producer</x:v>
      </x:c>
      <x:c r="Q10" s="16" t="str">
        <x:v>Concept</x:v>
      </x:c>
      <x:c r="R10" t="str">
        <x:v>https://www.nj.gov/transportation/refdata/gis/data.shtm</x:v>
      </x:c>
    </x:row>
    <x:row r="11" ht="39" customHeight="1">
      <x:c r="A11" s="14" t="str">
        <x:v>07</x:v>
      </x:c>
      <x:c r="B11" t="str">
        <x:v>Week 04</x:v>
      </x:c>
      <x:c r="C11" t="str">
        <x:v>Tue</x:v>
      </x:c>
      <x:c r="D11" t="str">
        <x:v>Superlative</x:v>
      </x:c>
      <x:c r="E11" s="16" t="str">
        <x:v>Exit 100B almost returns to its beginning</x:v>
      </x:c>
      <x:c r="F11" s="16" t="str">
        <x:v>EXIT 100B | 22 FT APART</x:v>
      </x:c>
      <x:c r="G11" t="str">
        <x:v>100B</x:v>
      </x:c>
      <x:c r="H11" t="str">
        <x:v>5687</x:v>
      </x:c>
      <x:c r="I11" s="16" t="str">
        <x:v>The selected 2,122-ft path ends ~22 ft from its start in plan view</x:v>
      </x:c>
      <x:c r="J11" s="16" t="str">
        <x:v>Real path in amber, subtle dotted chord between endpoints</x:v>
      </x:c>
      <x:c r="K11" t="str">
        <x:v>1080×1350 feed</x:v>
      </x:c>
      <x:c r="L11" t="str">
        <x:v>Locally recognizable exit + descriptive caption</x:v>
      </x:c>
      <x:c r="M11" t="str">
        <x:v>Optional 9:16 path trace, 8–15 s</x:v>
      </x:c>
      <x:c r="N11" s="16" t="str">
        <x:v>Do you know this loop?</x:v>
      </x:c>
      <x:c r="O11" s="16" t="str">
        <x:v>Not a closed driving circuit; endpoint gap is geometric</x:v>
      </x:c>
      <x:c r="P11" s="16" t="str">
        <x:v>Graphics producer + digital producer</x:v>
      </x:c>
      <x:c r="Q11" s="16" t="str">
        <x:v>Concept</x:v>
      </x:c>
      <x:c r="R11" t="str">
        <x:v>https://www.nj.gov/transportation/refdata/gis/data.shtm</x:v>
      </x:c>
    </x:row>
    <x:row r="12" ht="39" customHeight="1">
      <x:c r="A12" s="14" t="str">
        <x:v>08</x:v>
      </x:c>
      <x:c r="B12" t="str">
        <x:v>Week 04</x:v>
      </x:c>
      <x:c r="C12" t="str">
        <x:v>Fri</x:v>
      </x:c>
      <x:c r="D12" t="str">
        <x:v>Ramp portrait</x:v>
      </x:c>
      <x:c r="E12" s="16" t="str">
        <x:v>An S-shaped entrance at Exit 114</x:v>
      </x:c>
      <x:c r="F12" s="16" t="str">
        <x:v>EXIT 114 | RED HILL ROAD</x:v>
      </x:c>
      <x:c r="G12" t="str">
        <x:v>114</x:v>
      </x:c>
      <x:c r="H12" t="str">
        <x:v>5918</x:v>
      </x:c>
      <x:c r="I12" s="16" t="str">
        <x:v>Southbound entrance from Red Hill Road, 2,733-ft selected path</x:v>
      </x:c>
      <x:c r="J12" s="16" t="str">
        <x:v>Large independent S-curved geometry with Monmouth locator</x:v>
      </x:c>
      <x:c r="K12" t="str">
        <x:v>1080×1350 feed</x:v>
      </x:c>
      <x:c r="L12" t="str">
        <x:v>Locally recognizable exit + descriptive caption</x:v>
      </x:c>
      <x:c r="M12" t="str">
        <x:v>No video required</x:v>
      </x:c>
      <x:c r="N12" s="16" t="str">
        <x:v>What shape do you see?</x:v>
      </x:c>
      <x:c r="O12" s="16" t="str">
        <x:v>Not a claim about road traffic speed or danger</x:v>
      </x:c>
      <x:c r="P12" s="16" t="str">
        <x:v>Graphics producer + digital producer</x:v>
      </x:c>
      <x:c r="Q12" s="16" t="str">
        <x:v>Concept</x:v>
      </x:c>
      <x:c r="R12" t="str">
        <x:v>https://www.nj.gov/transportation/refdata/gis/data.shtm</x:v>
      </x:c>
    </x:row>
    <x:row r="13" ht="39" customHeight="1">
      <x:c r="A13" s="14" t="str">
        <x:v>09</x:v>
      </x:c>
      <x:c r="B13" t="str">
        <x:v>Week 05</x:v>
      </x:c>
      <x:c r="C13" t="str">
        <x:v>Tue</x:v>
      </x:c>
      <x:c r="D13" t="str">
        <x:v>Shape comparison</x:v>
      </x:c>
      <x:c r="E13" s="16" t="str">
        <x:v>Two distant Parkway loops</x:v>
      </x:c>
      <x:c r="F13" s="16" t="str">
        <x:v>165A / 4B</x:v>
      </x:c>
      <x:c r="G13" t="str">
        <x:v>165A, 4B</x:v>
      </x:c>
      <x:c r="H13" t="str">
        <x:v>5523, 5660</x:v>
      </x:c>
      <x:c r="I13" s="16" t="str">
        <x:v>Compare one Bergen northbound exit with one Cape May southbound exit</x:v>
      </x:c>
      <x:c r="J13" s="16" t="str">
        <x:v>Paired shapes; county locators; fitted and same-scale mini-panel</x:v>
      </x:c>
      <x:c r="K13" t="str">
        <x:v>1080×1350 feed</x:v>
      </x:c>
      <x:c r="L13" t="str">
        <x:v>Locally recognizable exit + descriptive caption</x:v>
      </x:c>
      <x:c r="M13" t="str">
        <x:v>Optional 9:16 path trace, 8–15 s</x:v>
      </x:c>
      <x:c r="N13" s="16" t="str">
        <x:v>Do these shapes look alike to you?</x:v>
      </x:c>
      <x:c r="O13" s="16" t="str">
        <x:v>Algorithm suggests similarity; visually vet pairing prior to release</x:v>
      </x:c>
      <x:c r="P13" s="16" t="str">
        <x:v>Graphics producer + digital producer</x:v>
      </x:c>
      <x:c r="Q13" s="16" t="str">
        <x:v>Concept</x:v>
      </x:c>
      <x:c r="R13" t="str">
        <x:v>https://www.nj.gov/transportation/refdata/gis/data.shtm</x:v>
      </x:c>
    </x:row>
    <x:row r="14" ht="39" customHeight="1">
      <x:c r="A14" s="14" t="str">
        <x:v>10</x:v>
      </x:c>
      <x:c r="B14" t="str">
        <x:v>Week 05</x:v>
      </x:c>
      <x:c r="C14" t="str">
        <x:v>Fri</x:v>
      </x:c>
      <x:c r="D14" t="str">
        <x:v>Ramp portrait</x:v>
      </x:c>
      <x:c r="E14" s="16" t="str">
        <x:v>The turns off Exit 143</x:v>
      </x:c>
      <x:c r="F14" s="16" t="str">
        <x:v>EXIT 143 | CLEREMONT AVE</x:v>
      </x:c>
      <x:c r="G14" t="str">
        <x:v>143</x:v>
      </x:c>
      <x:c r="H14" t="str">
        <x:v>5492</x:v>
      </x:c>
      <x:c r="I14" s="16" t="str">
        <x:v>Selected northbound exit at the Newark interchange group, 1,024 ft</x:v>
      </x:c>
      <x:c r="J14" s="16" t="str">
        <x:v>Subtle Essex locator; original path big and uncluttered</x:v>
      </x:c>
      <x:c r="K14" t="str">
        <x:v>1080×1350 feed</x:v>
      </x:c>
      <x:c r="L14" t="str">
        <x:v>Locally recognizable exit + descriptive caption</x:v>
      </x:c>
      <x:c r="M14" t="str">
        <x:v>No video required</x:v>
      </x:c>
      <x:c r="N14" s="16" t="str">
        <x:v>Do you recognize this Newark-area exit?</x:v>
      </x:c>
      <x:c r="O14" s="16" t="str">
        <x:v>No assumptions about extra branches beyond selected record</x:v>
      </x:c>
      <x:c r="P14" s="16" t="str">
        <x:v>Graphics producer + digital producer</x:v>
      </x:c>
      <x:c r="Q14" s="16" t="str">
        <x:v>Concept</x:v>
      </x:c>
      <x:c r="R14" t="str">
        <x:v>https://www.nj.gov/transportation/refdata/gis/data.shtm</x:v>
      </x:c>
    </x:row>
    <x:row r="15" ht="39" customHeight="1">
      <x:c r="A15" s="14" t="str">
        <x:v>11</x:v>
      </x:c>
      <x:c r="B15" t="str">
        <x:v>Week 06</x:v>
      </x:c>
      <x:c r="C15" t="str">
        <x:v>Tue</x:v>
      </x:c>
      <x:c r="D15" t="str">
        <x:v>Superlative</x:v>
      </x:c>
      <x:c r="E15" s="16" t="str">
        <x:v>Which interchange has the most selected paths?</x:v>
      </x:c>
      <x:c r="F15" s="16" t="str">
        <x:v>EXIT 89 | 11 PATHS</x:v>
      </x:c>
      <x:c r="G15" t="str">
        <x:v>Selected corpus</x:v>
      </x:c>
      <x:c r="H15" t="str"/>
      <x:c r="I15" s="16" t="str">
        <x:v>11 distinct selected source paths in the Exit 89 group</x:v>
      </x:c>
      <x:c r="J15" s="16" t="str">
        <x:v>Reveal 11 road connections sequentially, count to 11</x:v>
      </x:c>
      <x:c r="K15" t="str">
        <x:v>1080×1350 feed</x:v>
      </x:c>
      <x:c r="L15" t="str">
        <x:v>Locally recognizable exit + descriptive caption</x:v>
      </x:c>
      <x:c r="M15" t="str">
        <x:v>Optional 9:16 path trace, 8–15 s</x:v>
      </x:c>
      <x:c r="N15" s="16" t="str">
        <x:v>Is this one on your route?</x:v>
      </x:c>
      <x:c r="O15" s="16" t="str">
        <x:v>Count is from curated atlas, NOT all physical ramps</x:v>
      </x:c>
      <x:c r="P15" s="16" t="str">
        <x:v>Graphics producer + digital producer</x:v>
      </x:c>
      <x:c r="Q15" s="16" t="str">
        <x:v>Concept</x:v>
      </x:c>
      <x:c r="R15" t="str">
        <x:v>https://www.nj.gov/transportation/refdata/gis/data.shtm</x:v>
      </x:c>
    </x:row>
    <x:row r="16" ht="39" customHeight="1">
      <x:c r="A16" s="14" t="str">
        <x:v>12</x:v>
      </x:c>
      <x:c r="B16" t="str">
        <x:v>Week 06</x:v>
      </x:c>
      <x:c r="C16" t="str">
        <x:v>Fri</x:v>
      </x:c>
      <x:c r="D16" t="str">
        <x:v>Motion</x:v>
      </x:c>
      <x:c r="E16" s="16" t="str">
        <x:v>Every selected Parkway turn at one point</x:v>
      </x:c>
      <x:c r="F16" s="16" t="str">
        <x:v>359 PATHS | ONE ANCHOR</x:v>
      </x:c>
      <x:c r="G16" t="str">
        <x:v>Selected corpus</x:v>
      </x:c>
      <x:c r="H16" t="str"/>
      <x:c r="I16" s="16" t="str">
        <x:v>359 selected paths aligned at their first recorded vertex</x:v>
      </x:c>
      <x:c r="J16" s="16" t="str">
        <x:v>9:16 common-scale vertex overlay animation, exit/entrance color keyed</x:v>
      </x:c>
      <x:c r="K16" t="str">
        <x:v>1080×1920 video</x:v>
      </x:c>
      <x:c r="L16" t="str">
        <x:v>Locally recognizable exit + descriptive caption</x:v>
      </x:c>
      <x:c r="M16" t="str">
        <x:v>9:16 12–25 s, based on GIS coordinate animation</x:v>
      </x:c>
      <x:c r="N16" s="16" t="str">
        <x:v>What do you notice in the overlay?</x:v>
      </x:c>
      <x:c r="O16" s="16" t="str">
        <x:v>Keep true common scale and north-up; show limitations</x:v>
      </x:c>
      <x:c r="P16" s="16" t="str">
        <x:v>Motion designer + digital producer</x:v>
      </x:c>
      <x:c r="Q16" s="16" t="str">
        <x:v>Concept</x:v>
      </x:c>
      <x:c r="R16" t="str">
        <x:v>https://www.nj.gov/transportation/refdata/gis/data.shtm</x:v>
      </x:c>
    </x:row>
    <x:row r="17" ht="39" customHeight="1">
      <x:c r="A17" s="14" t="str">
        <x:v>13</x:v>
      </x:c>
      <x:c r="B17" t="str">
        <x:v>Week 07</x:v>
      </x:c>
      <x:c r="C17" t="str">
        <x:v>Tue</x:v>
      </x:c>
      <x:c r="D17" t="str">
        <x:v>Ramp portrait</x:v>
      </x:c>
      <x:c r="E17" s="16" t="str">
        <x:v>A near-loop at Exit 82</x:v>
      </x:c>
      <x:c r="F17" s="16" t="str">
        <x:v>EXIT 82 | NJ 37 EAST</x:v>
      </x:c>
      <x:c r="G17" t="str">
        <x:v>82</x:v>
      </x:c>
      <x:c r="H17" t="str">
        <x:v>5680</x:v>
      </x:c>
      <x:c r="I17" s="16" t="str">
        <x:v>1,203-ft selected southbound exit branch in Ocean County</x:v>
      </x:c>
      <x:c r="J17" s="16" t="str">
        <x:v>Large nearly closed loop plus little road-connection map</x:v>
      </x:c>
      <x:c r="K17" t="str">
        <x:v>1080×1350 feed</x:v>
      </x:c>
      <x:c r="L17" t="str">
        <x:v>Locally recognizable exit + descriptive caption</x:v>
      </x:c>
      <x:c r="M17" t="str">
        <x:v>No video required</x:v>
      </x:c>
      <x:c r="N17" s="16" t="str">
        <x:v>Recognize the Route 37 interchange?</x:v>
      </x:c>
      <x:c r="O17" s="16" t="str">
        <x:v>Geometric loop ≠ literal traffic circle</x:v>
      </x:c>
      <x:c r="P17" s="16" t="str">
        <x:v>Graphics producer + digital producer</x:v>
      </x:c>
      <x:c r="Q17" s="16" t="str">
        <x:v>Concept</x:v>
      </x:c>
      <x:c r="R17" t="str">
        <x:v>https://www.nj.gov/transportation/refdata/gis/data.shtm</x:v>
      </x:c>
    </x:row>
    <x:row r="18" ht="39" customHeight="1">
      <x:c r="A18" s="14" t="str">
        <x:v>14</x:v>
      </x:c>
      <x:c r="B18" t="str">
        <x:v>Week 07</x:v>
      </x:c>
      <x:c r="C18" t="str">
        <x:v>Fri</x:v>
      </x:c>
      <x:c r="D18" t="str">
        <x:v>Shape comparison</x:v>
      </x:c>
      <x:c r="E18" s="16" t="str">
        <x:v>Which loop comes closer to closing?</x:v>
      </x:c>
      <x:c r="F18" s="16" t="str">
        <x:v>100B / 82</x:v>
      </x:c>
      <x:c r="G18" t="str">
        <x:v>100B, 82</x:v>
      </x:c>
      <x:c r="H18" t="str">
        <x:v>5687, 5680</x:v>
      </x:c>
      <x:c r="I18" s="16" t="str">
        <x:v>Exit 100B and Exit 82 southbound exit branches; 22-ft vs ~36-ft endpoint gaps</x:v>
      </x:c>
      <x:c r="J18" s="16" t="str">
        <x:v>Twin paths with dotted endpoint chords</x:v>
      </x:c>
      <x:c r="K18" t="str">
        <x:v>1080×1350 feed</x:v>
      </x:c>
      <x:c r="L18" t="str">
        <x:v>Locally recognizable exit + descriptive caption</x:v>
      </x:c>
      <x:c r="M18" t="str">
        <x:v>Optional 9:16 path trace, 8–15 s</x:v>
      </x:c>
      <x:c r="N18" s="16" t="str">
        <x:v>Which is the tighter-looking loop?</x:v>
      </x:c>
      <x:c r="O18" s="16" t="str">
        <x:v>Compare chord gaps, not exact loop radius or permitted U-turn</x:v>
      </x:c>
      <x:c r="P18" s="16" t="str">
        <x:v>Graphics producer + digital producer</x:v>
      </x:c>
      <x:c r="Q18" s="16" t="str">
        <x:v>Concept</x:v>
      </x:c>
      <x:c r="R18" t="str">
        <x:v>https://www.nj.gov/transportation/refdata/gis/data.shtm</x:v>
      </x:c>
    </x:row>
    <x:row r="19" ht="39" customHeight="1">
      <x:c r="A19" s="14" t="str">
        <x:v>15</x:v>
      </x:c>
      <x:c r="B19" t="str">
        <x:v>Week 08</x:v>
      </x:c>
      <x:c r="C19" t="str">
        <x:v>Tue</x:v>
      </x:c>
      <x:c r="D19" t="str">
        <x:v>Superlative</x:v>
      </x:c>
      <x:c r="E19" s="16" t="str">
        <x:v>The most direct longer shape in the sample</x:v>
      </x:c>
      <x:c r="F19" s="16" t="str">
        <x:v>EXIT 150 | NEARLY STRAIGHT</x:v>
      </x:c>
      <x:c r="G19" t="str">
        <x:v>150</x:v>
      </x:c>
      <x:c r="H19" t="str">
        <x:v>5496</x:v>
      </x:c>
      <x:c r="I19" s="16" t="str">
        <x:v>Lowest path/chord ratio among selected paths ≥500 ft, approximately 1.00035</x:v>
      </x:c>
      <x:c r="J19" s="16" t="str">
        <x:v>Path beside nearly overlapping endpoint straight line</x:v>
      </x:c>
      <x:c r="K19" t="str">
        <x:v>1080×1350 feed</x:v>
      </x:c>
      <x:c r="L19" t="str">
        <x:v>Locally recognizable exit + descriptive caption</x:v>
      </x:c>
      <x:c r="M19" t="str">
        <x:v>Optional 9:16 path trace, 8–15 s</x:v>
      </x:c>
      <x:c r="N19" s="16" t="str">
        <x:v>How close to straight is your exit?</x:v>
      </x:c>
      <x:c r="O19" s="16" t="str">
        <x:v>Qualifier 'among selected paths &gt;=500 ft' must remain</x:v>
      </x:c>
      <x:c r="P19" s="16" t="str">
        <x:v>Graphics producer + digital producer</x:v>
      </x:c>
      <x:c r="Q19" s="16" t="str">
        <x:v>Concept</x:v>
      </x:c>
      <x:c r="R19" t="str">
        <x:v>https://www.nj.gov/transportation/refdata/gis/data.shtm</x:v>
      </x:c>
    </x:row>
    <x:row r="20" ht="39" customHeight="1">
      <x:c r="A20" s="14" t="str">
        <x:v>16</x:v>
      </x:c>
      <x:c r="B20" t="str">
        <x:v>Week 08</x:v>
      </x:c>
      <x:c r="C20" t="str">
        <x:v>Fri</x:v>
      </x:c>
      <x:c r="D20" t="str">
        <x:v>County gallery</x:v>
      </x:c>
      <x:c r="E20" s="16" t="str">
        <x:v>Parkway shapes through Monmouth County</x:v>
      </x:c>
      <x:c r="F20" s="16" t="str">
        <x:v>MONMOUTH COUNTY | Parkway shapes</x:v>
      </x:c>
      <x:c r="G20" t="str">
        <x:v>114, 105, 100B, 100A, 98</x:v>
      </x:c>
      <x:c r="H20" t="str">
        <x:v>5918, 5687, 5690, 5686, 5688</x:v>
      </x:c>
      <x:c r="I20" s="16" t="str">
        <x:v>Verified county allocation and curated Monmouth sample</x:v>
      </x:c>
      <x:c r="J20" s="16" t="str">
        <x:v>5-slide carousel; include 100B, 114, 129? No, 129 is Middlesex</x:v>
      </x:c>
      <x:c r="K20" t="str">
        <x:v>1080×1350 / 5 slides</x:v>
      </x:c>
      <x:c r="L20" t="str">
        <x:v>First-frame hook + geography in caption</x:v>
      </x:c>
      <x:c r="M20" t="str">
        <x:v>No video required</x:v>
      </x:c>
      <x:c r="N20" s="16" t="str">
        <x:v>Which Monmouth exit do you use?</x:v>
      </x:c>
      <x:c r="O20" s="16" t="str">
        <x:v>Choose FIDs from Monmouth only; do not use 129</x:v>
      </x:c>
      <x:c r="P20" s="16" t="str">
        <x:v>Graphics producer + digital producer</x:v>
      </x:c>
      <x:c r="Q20" s="16" t="str">
        <x:v>Concept</x:v>
      </x:c>
      <x:c r="R20" t="str">
        <x:v>https://www.nj.gov/transportation/refdata/gis/data.shtm</x:v>
      </x:c>
    </x:row>
    <x:row r="21" ht="39" customHeight="1">
      <x:c r="A21" s="14" t="str">
        <x:v>17</x:v>
      </x:c>
      <x:c r="B21" t="str">
        <x:v>Week 09</x:v>
      </x:c>
      <x:c r="C21" t="str">
        <x:v>Tue</x:v>
      </x:c>
      <x:c r="D21" t="str">
        <x:v>Ramp portrait</x:v>
      </x:c>
      <x:c r="E21" s="16" t="str">
        <x:v>Exit 129's compact branch</x:v>
      </x:c>
      <x:c r="F21" s="16" t="str">
        <x:v>EXIT 129 | US 9 SOUTH</x:v>
      </x:c>
      <x:c r="G21" t="str">
        <x:v>129</x:v>
      </x:c>
      <x:c r="H21" t="str">
        <x:v>5926</x:v>
      </x:c>
      <x:c r="I21" s="16" t="str">
        <x:v>Southbound entrance from US 9 southbound, 1,559 ft selected path in Middlesex</x:v>
      </x:c>
      <x:c r="J21" s="16" t="str">
        <x:v>Original shape, small Middlesex locator</x:v>
      </x:c>
      <x:c r="K21" t="str">
        <x:v>1080×1350 feed</x:v>
      </x:c>
      <x:c r="L21" t="str">
        <x:v>Locally recognizable exit + descriptive caption</x:v>
      </x:c>
      <x:c r="M21" t="str">
        <x:v>No video required</x:v>
      </x:c>
      <x:c r="N21" s="16" t="str">
        <x:v>Is this your interchange?</x:v>
      </x:c>
      <x:c r="O21" s="16" t="str">
        <x:v>Distinguish from 11,571-ft shared connector in same group</x:v>
      </x:c>
      <x:c r="P21" s="16" t="str">
        <x:v>Graphics producer + digital producer</x:v>
      </x:c>
      <x:c r="Q21" s="16" t="str">
        <x:v>Concept</x:v>
      </x:c>
      <x:c r="R21" t="str">
        <x:v>https://www.nj.gov/transportation/refdata/gis/data.shtm</x:v>
      </x:c>
    </x:row>
    <x:row r="22" ht="39" customHeight="1">
      <x:c r="A22" s="14" t="str">
        <x:v>18</x:v>
      </x:c>
      <x:c r="B22" t="str">
        <x:v>Week 09</x:v>
      </x:c>
      <x:c r="C22" t="str">
        <x:v>Fri</x:v>
      </x:c>
      <x:c r="D22" t="str">
        <x:v>Shape comparison</x:v>
      </x:c>
      <x:c r="E22" s="16" t="str">
        <x:v>Two very long connecting paths</x:v>
      </x:c>
      <x:c r="F22" s="16" t="str">
        <x:v>129 / 98</x:v>
      </x:c>
      <x:c r="G22" t="str">
        <x:v>129, 98</x:v>
      </x:c>
      <x:c r="H22" t="str">
        <x:v>3962, 5686</x:v>
      </x:c>
      <x:c r="I22" s="16" t="str">
        <x:v>11,571-ft Turnpike connector vs 9,265-ft NJ 34 shared approach</x:v>
      </x:c>
      <x:c r="J22" s="16" t="str">
        <x:v>Same scale emphasizes length; fitted view highlights curvature</x:v>
      </x:c>
      <x:c r="K22" t="str">
        <x:v>1080×1350 feed</x:v>
      </x:c>
      <x:c r="L22" t="str">
        <x:v>Locally recognizable exit + descriptive caption</x:v>
      </x:c>
      <x:c r="M22" t="str">
        <x:v>Optional 9:16 path trace, 8–15 s</x:v>
      </x:c>
      <x:c r="N22" s="16" t="str">
        <x:v>Which one looks longer when scaled alike?</x:v>
      </x:c>
      <x:c r="O22" s="16" t="str">
        <x:v>Both are long selected approaches; neither is 'longest exit'</x:v>
      </x:c>
      <x:c r="P22" s="16" t="str">
        <x:v>Graphics producer + digital producer</x:v>
      </x:c>
      <x:c r="Q22" s="16" t="str">
        <x:v>Concept</x:v>
      </x:c>
      <x:c r="R22" t="str">
        <x:v>https://www.nj.gov/transportation/refdata/gis/data.shtm</x:v>
      </x:c>
    </x:row>
    <x:row r="23" ht="39" customHeight="1">
      <x:c r="A23" s="14" t="str">
        <x:v>19</x:v>
      </x:c>
      <x:c r="B23" t="str">
        <x:v>Week 10</x:v>
      </x:c>
      <x:c r="C23" t="str">
        <x:v>Tue</x:v>
      </x:c>
      <x:c r="D23" t="str">
        <x:v>Superlative</x:v>
      </x:c>
      <x:c r="E23" s="16" t="str">
        <x:v>The shortest selected segment in the atlas</x:v>
      </x:c>
      <x:c r="F23" s="16" t="str">
        <x:v>EXIT 17 | 106 FT</x:v>
      </x:c>
      <x:c r="G23" t="str">
        <x:v>17</x:v>
      </x:c>
      <x:c r="H23" t="str">
        <x:v>5631</x:v>
      </x:c>
      <x:c r="I23" s="16" t="str">
        <x:v>106-ft northbound entrance feeder from Sea Isle Blvd east</x:v>
      </x:c>
      <x:c r="J23" s="16" t="str">
        <x:v>Tiny GIS line at common scale next to regular-length ramp</x:v>
      </x:c>
      <x:c r="K23" t="str">
        <x:v>1080×1350 feed</x:v>
      </x:c>
      <x:c r="L23" t="str">
        <x:v>Locally recognizable exit + descriptive caption</x:v>
      </x:c>
      <x:c r="M23" t="str">
        <x:v>Optional 9:16 path trace, 8–15 s</x:v>
      </x:c>
      <x:c r="N23" s="16" t="str">
        <x:v>Would you have guessed it was this short?</x:v>
      </x:c>
      <x:c r="O23" s="16" t="str">
        <x:v>Emphasize feeder segment, NOT a complete on-ramp</x:v>
      </x:c>
      <x:c r="P23" s="16" t="str">
        <x:v>Graphics producer + digital producer</x:v>
      </x:c>
      <x:c r="Q23" s="16" t="str">
        <x:v>Concept</x:v>
      </x:c>
      <x:c r="R23" t="str">
        <x:v>https://www.nj.gov/transportation/refdata/gis/data.shtm</x:v>
      </x:c>
    </x:row>
    <x:row r="24" ht="39" customHeight="1">
      <x:c r="A24" s="14" t="str">
        <x:v>20</x:v>
      </x:c>
      <x:c r="B24" t="str">
        <x:v>Week 10</x:v>
      </x:c>
      <x:c r="C24" t="str">
        <x:v>Fri</x:v>
      </x:c>
      <x:c r="D24" t="str">
        <x:v>Ramp portrait</x:v>
      </x:c>
      <x:c r="E24" s="16" t="str">
        <x:v>The Atlantic City Expressway connection</x:v>
      </x:c>
      <x:c r="F24" s="16" t="str">
        <x:v>EXIT 38 | EXPRESSWAY WEST</x:v>
      </x:c>
      <x:c r="G24" t="str">
        <x:v>38</x:v>
      </x:c>
      <x:c r="H24" t="str">
        <x:v>5669</x:v>
      </x:c>
      <x:c r="I24" s="16" t="str">
        <x:v>4,088-ft southbound exit toward Atlantic City Expressway west</x:v>
      </x:c>
      <x:c r="J24" s="16" t="str">
        <x:v>One bold amber source path + understated Atlantic locator</x:v>
      </x:c>
      <x:c r="K24" t="str">
        <x:v>1080×1350 feed</x:v>
      </x:c>
      <x:c r="L24" t="str">
        <x:v>Locally recognizable exit + descriptive caption</x:v>
      </x:c>
      <x:c r="M24" t="str">
        <x:v>No video required</x:v>
      </x:c>
      <x:c r="N24" s="16" t="str">
        <x:v>How often do you take Exit 38?</x:v>
      </x:c>
      <x:c r="O24" s="16" t="str">
        <x:v>No speculative A/B suffix</x:v>
      </x:c>
      <x:c r="P24" s="16" t="str">
        <x:v>Graphics producer + digital producer</x:v>
      </x:c>
      <x:c r="Q24" s="16" t="str">
        <x:v>Concept</x:v>
      </x:c>
      <x:c r="R24" t="str">
        <x:v>https://www.nj.gov/transportation/refdata/gis/data.shtm</x:v>
      </x:c>
    </x:row>
    <x:row r="25" ht="39" customHeight="1">
      <x:c r="A25" s="14" t="str">
        <x:v>21</x:v>
      </x:c>
      <x:c r="B25" t="str">
        <x:v>Week 11</x:v>
      </x:c>
      <x:c r="C25" t="str">
        <x:v>Tue</x:v>
      </x:c>
      <x:c r="D25" t="str">
        <x:v>County gallery</x:v>
      </x:c>
      <x:c r="E25" s="16" t="str">
        <x:v>An Ocean County Parkway shape gallery</x:v>
      </x:c>
      <x:c r="F25" s="16" t="str">
        <x:v>OCEAN COUNTY | Parkway shapes</x:v>
      </x:c>
      <x:c r="G25" t="str">
        <x:v>89, 82, 80, 63A, 63</x:v>
      </x:c>
      <x:c r="H25" t="str">
        <x:v>5683, 5680, 5468, 99282, 5674</x:v>
      </x:c>
      <x:c r="I25" s="16" t="str">
        <x:v>Curated Ocean set includes groups 89, 82, 63, 74, etc.</x:v>
      </x:c>
      <x:c r="J25" s="16" t="str">
        <x:v>Five to six forms across Ocean, grouped north→south</x:v>
      </x:c>
      <x:c r="K25" t="str">
        <x:v>1080×1350 / 5 slides</x:v>
      </x:c>
      <x:c r="L25" t="str">
        <x:v>First-frame hook + geography in caption</x:v>
      </x:c>
      <x:c r="M25" t="str">
        <x:v>No video required</x:v>
      </x:c>
      <x:c r="N25" s="16" t="str">
        <x:v>Which Ocean County exit is yours?</x:v>
      </x:c>
      <x:c r="O25" s="16" t="str">
        <x:v>County view is approximate near borders; use primary allocations</x:v>
      </x:c>
      <x:c r="P25" s="16" t="str">
        <x:v>Graphics producer + digital producer</x:v>
      </x:c>
      <x:c r="Q25" s="16" t="str">
        <x:v>Concept</x:v>
      </x:c>
      <x:c r="R25" t="str">
        <x:v>https://www.nj.gov/transportation/refdata/gis/data.shtm</x:v>
      </x:c>
    </x:row>
    <x:row r="26" ht="39" customHeight="1">
      <x:c r="A26" s="14" t="str">
        <x:v>22</x:v>
      </x:c>
      <x:c r="B26" t="str">
        <x:v>Week 11</x:v>
      </x:c>
      <x:c r="C26" t="str">
        <x:v>Fri</x:v>
      </x:c>
      <x:c r="D26" t="str">
        <x:v>Shape comparison</x:v>
      </x:c>
      <x:c r="E26" s="16" t="str">
        <x:v>A folded turn versus a sweeping U</x:v>
      </x:c>
      <x:c r="F26" s="16" t="str">
        <x:v>114 / 89</x:v>
      </x:c>
      <x:c r="G26" t="str">
        <x:v>114, 89</x:v>
      </x:c>
      <x:c r="H26" t="str">
        <x:v>5918, 5683</x:v>
      </x:c>
      <x:c r="I26" s="16" t="str">
        <x:v>Red Hill Road southbound entrance vs Airport Rd/Cedar Bridge southbound exit</x:v>
      </x:c>
      <x:c r="J26" s="16" t="str">
        <x:v>Geometries side by side; labels clarify source scope</x:v>
      </x:c>
      <x:c r="K26" t="str">
        <x:v>1080×1350 feed</x:v>
      </x:c>
      <x:c r="L26" t="str">
        <x:v>Locally recognizable exit + descriptive caption</x:v>
      </x:c>
      <x:c r="M26" t="str">
        <x:v>Optional 9:16 path trace, 8–15 s</x:v>
      </x:c>
      <x:c r="N26" s="16" t="str">
        <x:v>Which is the stranger drawing?</x:v>
      </x:c>
      <x:c r="O26" s="16" t="str">
        <x:v>Editorial visual contrast; not an algorithmic 'most similar'</x:v>
      </x:c>
      <x:c r="P26" s="16" t="str">
        <x:v>Graphics producer + digital producer</x:v>
      </x:c>
      <x:c r="Q26" s="16" t="str">
        <x:v>Concept</x:v>
      </x:c>
      <x:c r="R26" t="str">
        <x:v>https://www.nj.gov/transportation/refdata/gis/data.shtm</x:v>
      </x:c>
    </x:row>
    <x:row r="27" ht="39" customHeight="1">
      <x:c r="A27" s="14" t="str">
        <x:v>23</x:v>
      </x:c>
      <x:c r="B27" t="str">
        <x:v>Week 12</x:v>
      </x:c>
      <x:c r="C27" t="str">
        <x:v>Tue</x:v>
      </x:c>
      <x:c r="D27" t="str">
        <x:v>Superlative</x:v>
      </x:c>
      <x:c r="E27" s="16" t="str">
        <x:v>Where is the sharpest modeled bend?</x:v>
      </x:c>
      <x:c r="F27" s="16" t="str">
        <x:v>EXIT 139B | ~49 FT</x:v>
      </x:c>
      <x:c r="G27" t="str">
        <x:v>139B</x:v>
      </x:c>
      <x:c r="H27" t="str">
        <x:v>5488</x:v>
      </x:c>
      <x:c r="I27" s="16" t="str">
        <x:v>Estimated minimum 100-foot-window curvature radius ~49.3 ft</x:v>
      </x:c>
      <x:c r="J27" s="16" t="str">
        <x:v>Local bend location highlighted in a broader source path</x:v>
      </x:c>
      <x:c r="K27" t="str">
        <x:v>1080×1350 feed</x:v>
      </x:c>
      <x:c r="L27" t="str">
        <x:v>Locally recognizable exit + descriptive caption</x:v>
      </x:c>
      <x:c r="M27" t="str">
        <x:v>Optional 9:16 path trace, 8–15 s</x:v>
      </x:c>
      <x:c r="N27" s="16" t="str">
        <x:v>Does this curve surprise you?</x:v>
      </x:c>
      <x:c r="O27" s="16" t="str">
        <x:v>Needs method QA; no claim of official design radius or danger</x:v>
      </x:c>
      <x:c r="P27" s="16" t="str">
        <x:v>Graphics producer + digital producer</x:v>
      </x:c>
      <x:c r="Q27" s="16" t="str">
        <x:v>Concept</x:v>
      </x:c>
      <x:c r="R27" t="str">
        <x:v>https://www.nj.gov/transportation/refdata/gis/data.shtm</x:v>
      </x:c>
    </x:row>
    <x:row r="28" ht="39" customHeight="1">
      <x:c r="A28" s="14" t="str">
        <x:v>24</x:v>
      </x:c>
      <x:c r="B28" t="str">
        <x:v>Week 12</x:v>
      </x:c>
      <x:c r="C28" t="str">
        <x:v>Fri</x:v>
      </x:c>
      <x:c r="D28" t="str">
        <x:v>Motion</x:v>
      </x:c>
      <x:c r="E28" s="16" t="str">
        <x:v>Unfold the Parkway county by county</x:v>
      </x:c>
      <x:c r="F28" s="16" t="str">
        <x:v>Bergen → Cape May</x:v>
      </x:c>
      <x:c r="G28" t="str">
        <x:v>Selected corpus</x:v>
      </x:c>
      <x:c r="H28" t="str"/>
      <x:c r="I28" s="16" t="str">
        <x:v>39 featured paths, animate location by county sequence</x:v>
      </x:c>
      <x:c r="J28" s="16" t="str">
        <x:v>15–25s county-by-county morph using GIS geometry, not fabricated roads</x:v>
      </x:c>
      <x:c r="K28" t="str">
        <x:v>1080×1920 video</x:v>
      </x:c>
      <x:c r="L28" t="str">
        <x:v>Locally recognizable exit + descriptive caption</x:v>
      </x:c>
      <x:c r="M28" t="str">
        <x:v>9:16 12–25 s, based on GIS coordinate animation</x:v>
      </x:c>
      <x:c r="N28" s="16" t="str">
        <x:v>What county should we focus on next?</x:v>
      </x:c>
      <x:c r="O28" s="16" t="str">
        <x:v>County boundaries from generalized source; no claim of pavement accuracy</x:v>
      </x:c>
      <x:c r="P28" s="16" t="str">
        <x:v>Motion designer + digital producer</x:v>
      </x:c>
      <x:c r="Q28" s="16" t="str">
        <x:v>Concept</x:v>
      </x:c>
      <x:c r="R28" t="str">
        <x:v>https://www.nj.gov/transportation/refdata/gis/data.shtm</x:v>
      </x:c>
    </x:row>
    <x:row r="29" ht="39" customHeight="1">
      <x:c r="A29" s="14" t="str">
        <x:v>25</x:v>
      </x:c>
      <x:c r="B29" t="str">
        <x:v>Week 13</x:v>
      </x:c>
      <x:c r="C29" t="str">
        <x:v>Tue</x:v>
      </x:c>
      <x:c r="D29" t="str">
        <x:v>Ramp portrait</x:v>
      </x:c>
      <x:c r="E29" s="16" t="str">
        <x:v>The Parkway's New Gretna connection</x:v>
      </x:c>
      <x:c r="F29" s="16" t="str">
        <x:v>EXIT 52 | NEW GRETNA</x:v>
      </x:c>
      <x:c r="G29" t="str">
        <x:v>52</x:v>
      </x:c>
      <x:c r="H29" t="str">
        <x:v>5672</x:v>
      </x:c>
      <x:c r="I29" s="16" t="str">
        <x:v>1,015-ft selected southbound exit to CR 654 south in Burlington County</x:v>
      </x:c>
      <x:c r="J29" s="16" t="str">
        <x:v>Single curve and small Burlington county locator</x:v>
      </x:c>
      <x:c r="K29" t="str">
        <x:v>1080×1350 feed</x:v>
      </x:c>
      <x:c r="L29" t="str">
        <x:v>Locally recognizable exit + descriptive caption</x:v>
      </x:c>
      <x:c r="M29" t="str">
        <x:v>No video required</x:v>
      </x:c>
      <x:c r="N29" s="16" t="str">
        <x:v>Do you know this section of the Parkway?</x:v>
      </x:c>
      <x:c r="O29" s="16" t="str">
        <x:v>Road's local destination and signs require copy review</x:v>
      </x:c>
      <x:c r="P29" s="16" t="str">
        <x:v>Graphics producer + digital producer</x:v>
      </x:c>
      <x:c r="Q29" s="16" t="str">
        <x:v>Concept</x:v>
      </x:c>
      <x:c r="R29" t="str">
        <x:v>https://www.nj.gov/transportation/refdata/gis/data.shtm</x:v>
      </x:c>
    </x:row>
    <x:row r="30" ht="39" customHeight="1">
      <x:c r="A30" s="14" t="str">
        <x:v>26</x:v>
      </x:c>
      <x:c r="B30" t="str">
        <x:v>Week 13</x:v>
      </x:c>
      <x:c r="C30" t="str">
        <x:v>Fri</x:v>
      </x:c>
      <x:c r="D30" t="str">
        <x:v>Shape comparison</x:v>
      </x:c>
      <x:c r="E30" s="16" t="str">
        <x:v>Straight versus nearly closed</x:v>
      </x:c>
      <x:c r="F30" s="16" t="str">
        <x:v>150 / 100B</x:v>
      </x:c>
      <x:c r="G30" t="str">
        <x:v>150, 100B</x:v>
      </x:c>
      <x:c r="H30" t="str">
        <x:v>5496, 5687</x:v>
      </x:c>
      <x:c r="I30" s="16" t="str">
        <x:v>Lowest path/chord of selected ≥500-ft paths versus one near-loop</x:v>
      </x:c>
      <x:c r="J30" s="16" t="str">
        <x:v>Left/right same-scale and fit-each pair, with connecting road labels</x:v>
      </x:c>
      <x:c r="K30" t="str">
        <x:v>1080×1350 feed</x:v>
      </x:c>
      <x:c r="L30" t="str">
        <x:v>Locally recognizable exit + descriptive caption</x:v>
      </x:c>
      <x:c r="M30" t="str">
        <x:v>Optional 9:16 path trace, 8–15 s</x:v>
      </x:c>
      <x:c r="N30" s="16" t="str">
        <x:v>Which feels more unusual?</x:v>
      </x:c>
      <x:c r="O30" s="16" t="str">
        <x:v>Both metrics defined; different geographies and directions</x:v>
      </x:c>
      <x:c r="P30" s="16" t="str">
        <x:v>Graphics producer + digital producer</x:v>
      </x:c>
      <x:c r="Q30" s="16" t="str">
        <x:v>Concept</x:v>
      </x:c>
      <x:c r="R30" t="str">
        <x:v>https://www.nj.gov/transportation/refdata/gis/data.shtm</x:v>
      </x:c>
    </x:row>
    <x:row r="31" ht="39" customHeight="1">
      <x:c r="A31" s="14" t="str">
        <x:v>27</x:v>
      </x:c>
      <x:c r="B31" t="str">
        <x:v>Week 14</x:v>
      </x:c>
      <x:c r="C31" t="str">
        <x:v>Tue</x:v>
      </x:c>
      <x:c r="D31" t="str">
        <x:v>County gallery</x:v>
      </x:c>
      <x:c r="E31" s="16" t="str">
        <x:v>Parkway shapes in Cape May County</x:v>
      </x:c>
      <x:c r="F31" s="16" t="str">
        <x:v>CAPE MAY COUNTY | Parkway shapes</x:v>
      </x:c>
      <x:c r="G31" t="str">
        <x:v>17, 6, 4A, 0</x:v>
      </x:c>
      <x:c r="H31" t="str">
        <x:v>5631, 5661, 5659, 105602, 5663</x:v>
      </x:c>
      <x:c r="I31" s="16" t="str">
        <x:v>Curated Cape May paths at exits 25, 17, 6, 4, and 0</x:v>
      </x:c>
      <x:c r="J31" s="16" t="str">
        <x:v>5-card carousel from Parkway south to terminal junction</x:v>
      </x:c>
      <x:c r="K31" t="str">
        <x:v>1080×1350 / 5 slides</x:v>
      </x:c>
      <x:c r="L31" t="str">
        <x:v>First-frame hook + geography in caption</x:v>
      </x:c>
      <x:c r="M31" t="str">
        <x:v>No video required</x:v>
      </x:c>
      <x:c r="N31" s="16" t="str">
        <x:v>Which exit marks the start of your shore trip?</x:v>
      </x:c>
      <x:c r="O31" s="16" t="str">
        <x:v>Show only actual selected branches, no invented Exit 12 off-ramp</x:v>
      </x:c>
      <x:c r="P31" s="16" t="str">
        <x:v>Graphics producer + digital producer</x:v>
      </x:c>
      <x:c r="Q31" s="16" t="str">
        <x:v>Concept</x:v>
      </x:c>
      <x:c r="R31" t="str">
        <x:v>https://www.nj.gov/transportation/refdata/gis/data.shtm</x:v>
      </x:c>
    </x:row>
    <x:row r="32" ht="39" customHeight="1">
      <x:c r="A32" s="14" t="str">
        <x:v>28</x:v>
      </x:c>
      <x:c r="B32" t="str">
        <x:v>Week 14</x:v>
      </x:c>
      <x:c r="C32" t="str">
        <x:v>Fri</x:v>
      </x:c>
      <x:c r="D32" t="str">
        <x:v>Ramp portrait</x:v>
      </x:c>
      <x:c r="E32" s="16" t="str">
        <x:v>Where the Parkway begins</x:v>
      </x:c>
      <x:c r="F32" s="16" t="str">
        <x:v>ACCESS 0 | NJ 109</x:v>
      </x:c>
      <x:c r="G32" t="str">
        <x:v>0</x:v>
      </x:c>
      <x:c r="H32" t="str">
        <x:v>105602</x:v>
      </x:c>
      <x:c r="I32" s="16" t="str">
        <x:v>2,223-ft selected northbound terminal entrance from NJ 109</x:v>
      </x:c>
      <x:c r="J32" s="16" t="str">
        <x:v>Source path with restrained southern-tip locator</x:v>
      </x:c>
      <x:c r="K32" t="str">
        <x:v>1080×1350 feed</x:v>
      </x:c>
      <x:c r="L32" t="str">
        <x:v>Locally recognizable exit + descriptive caption</x:v>
      </x:c>
      <x:c r="M32" t="str">
        <x:v>No video required</x:v>
      </x:c>
      <x:c r="N32" s="16" t="str">
        <x:v>Have you ever taken this entrance?</x:v>
      </x:c>
      <x:c r="O32" s="16" t="str">
        <x:v>Interchange 0 is at the Parkway terminus; avoid universal 'first' claims</x:v>
      </x:c>
      <x:c r="P32" s="16" t="str">
        <x:v>Graphics producer + digital producer</x:v>
      </x:c>
      <x:c r="Q32" s="16" t="str">
        <x:v>Concept</x:v>
      </x:c>
      <x:c r="R32" t="str">
        <x:v>https://www.nj.gov/transportation/refdata/gis/data.shtm</x:v>
      </x:c>
    </x:row>
    <x:row r="33" ht="39" customHeight="1">
      <x:c r="A33" s="14" t="str">
        <x:v>29</x:v>
      </x:c>
      <x:c r="B33" t="str">
        <x:v>Week 15</x:v>
      </x:c>
      <x:c r="C33" t="str">
        <x:v>Tue</x:v>
      </x:c>
      <x:c r="D33" t="str">
        <x:v>Ramp portrait</x:v>
      </x:c>
      <x:c r="E33" s="16" t="str">
        <x:v>Chestnut Street's other exit</x:v>
      </x:c>
      <x:c r="F33" s="16" t="str">
        <x:v>EXIT 139A | ROSELLE PARK</x:v>
      </x:c>
      <x:c r="G33" t="str">
        <x:v>139A</x:v>
      </x:c>
      <x:c r="H33" t="str">
        <x:v>5487</x:v>
      </x:c>
      <x:c r="I33" s="16" t="str">
        <x:v>1,428-ft selected northbound exit to Chestnut Street south in Union County</x:v>
      </x:c>
      <x:c r="J33" s="16" t="str">
        <x:v>Isolated curve, small Union locator; pair visually with 139B</x:v>
      </x:c>
      <x:c r="K33" t="str">
        <x:v>1080×1350 feed</x:v>
      </x:c>
      <x:c r="L33" t="str">
        <x:v>Locally recognizable exit + descriptive caption</x:v>
      </x:c>
      <x:c r="M33" t="str">
        <x:v>No video required</x:v>
      </x:c>
      <x:c r="N33" s="16" t="str">
        <x:v>Recognize Exit 139A?</x:v>
      </x:c>
      <x:c r="O33" s="16" t="str">
        <x:v>Keep suffix and road destination exactly as audited</x:v>
      </x:c>
      <x:c r="P33" s="16" t="str">
        <x:v>Graphics producer + digital producer</x:v>
      </x:c>
      <x:c r="Q33" s="16" t="str">
        <x:v>Concept</x:v>
      </x:c>
      <x:c r="R33" t="str">
        <x:v>https://www.nj.gov/transportation/refdata/gis/data.shtm</x:v>
      </x:c>
    </x:row>
    <x:row r="34" ht="39" customHeight="1">
      <x:c r="A34" s="14" t="str">
        <x:v>30</x:v>
      </x:c>
      <x:c r="B34" t="str">
        <x:v>Week 15</x:v>
      </x:c>
      <x:c r="C34" t="str">
        <x:v>Fri</x:v>
      </x:c>
      <x:c r="D34" t="str">
        <x:v>Motion</x:v>
      </x:c>
      <x:c r="E34" s="16" t="str">
        <x:v>Loops, one after another</x:v>
      </x:c>
      <x:c r="F34" s="16" t="str">
        <x:v>100B / 82 / 165A / 4A</x:v>
      </x:c>
      <x:c r="G34" t="str">
        <x:v>Selected corpus</x:v>
      </x:c>
      <x:c r="H34" t="str"/>
      <x:c r="I34" s="16" t="str">
        <x:v>Show four selected exit centerlines, one after another with identity labels</x:v>
      </x:c>
      <x:c r="J34" s="16" t="str">
        <x:v>9:16 15-second seamless centerline drawing; loop reveal</x:v>
      </x:c>
      <x:c r="K34" t="str">
        <x:v>1080×1920 video</x:v>
      </x:c>
      <x:c r="L34" t="str">
        <x:v>Locally recognizable exit + descriptive caption</x:v>
      </x:c>
      <x:c r="M34" t="str">
        <x:v>9:16 12–25 s, based on GIS coordinate animation</x:v>
      </x:c>
      <x:c r="N34" s="16" t="str">
        <x:v>Which loop is your favorite?</x:v>
      </x:c>
      <x:c r="O34" s="16" t="str">
        <x:v>Preserve source polyline per ramp; no circle fitting</x:v>
      </x:c>
      <x:c r="P34" s="16" t="str">
        <x:v>Motion designer + digital producer</x:v>
      </x:c>
      <x:c r="Q34" s="16" t="str">
        <x:v>Concept</x:v>
      </x:c>
      <x:c r="R34" t="str">
        <x:v>https://www.nj.gov/transportation/refdata/gis/data.shtm</x:v>
      </x:c>
    </x:row>
  </x:sheetData>
  <x:mergeCells>
    <x:mergeCell ref="A1:R1"/>
    <x:mergeCell ref="A2:R2"/>
  </x:mergeCells>
  <x:dataValidations count="1">
    <x:dataValidation type="list" sqref="Q5:Q34">
      <x:formula1>"Concept,Data review,Design,Copy review,Ready,Scheduled,Published,Hold"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9cbb45bd114ef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0" hidden="0" customWidth="1"/>
    <x:col min="3" max="3" width="33" hidden="0" customWidth="1"/>
    <x:col min="4" max="4" width="65" hidden="0" customWidth="1"/>
    <x:col min="5" max="5" width="36" hidden="0" customWidth="1"/>
    <x:col min="6" max="6" width="59" hidden="0" customWidth="1"/>
  </x:cols>
  <x:sheetData>
    <x:row r="1" ht="35" customHeight="1">
      <x:c r="A1" s="3" t="str">
        <x:v>REUSABLE GRAPHIC PRODUCTION TEMPLATES</x:v>
      </x:c>
      <x:c r="B1" s="3"/>
      <x:c r="C1" s="3"/>
      <x:c r="D1" s="3"/>
      <x:c r="E1" s="3"/>
      <x:c r="F1" s="3"/>
    </x:row>
    <x:row r="4" ht="32" customHeight="1">
      <x:c r="A4" s="11" t="str">
        <x:v>Template</x:v>
      </x:c>
      <x:c r="B4" s="11" t="str">
        <x:v>Count</x:v>
      </x:c>
      <x:c r="C4" s="11" t="str">
        <x:v>Story format</x:v>
      </x:c>
      <x:c r="D4" s="11" t="str">
        <x:v>Art direction</x:v>
      </x:c>
      <x:c r="E4" s="11" t="str">
        <x:v>Deliverables</x:v>
      </x:c>
      <x:c r="F4" s="11" t="str">
        <x:v>Editorial notes</x:v>
      </x:c>
    </x:row>
    <x:row r="5" ht="58" customHeight="1">
      <x:c r="A5" t="str">
        <x:v>Ramp portrait</x:v>
      </x:c>
      <x:c r="B5" t="n">
        <x:v>10</x:v>
      </x:c>
      <x:c r="C5" s="16" t="str">
        <x:v>One GIS shape, exit number, road + tiny locator</x:v>
      </x:c>
      <x:c r="D5" s="16" t="str">
        <x:v>Large true path; off-white page; sign-green badge; amber exit / mint entrance</x:v>
      </x:c>
      <x:c r="E5" s="16" t="str">
        <x:v>4:5 single, optional 9:16 trace</x:v>
      </x:c>
      <x:c r="F5" s="16" t="str">
        <x:v>Lead with local recognition, not random slogans</x:v>
      </x:c>
    </x:row>
    <x:row r="6" ht="58" customHeight="1">
      <x:c r="A6" t="str">
        <x:v>Superlative</x:v>
      </x:c>
      <x:c r="B6" t="n">
        <x:v>6</x:v>
      </x:c>
      <x:c r="C6" s="16" t="str">
        <x:v>One defensible record winner + measured value</x:v>
      </x:c>
      <x:c r="D6" s="16" t="str">
        <x:v>Large path plus one big number; second slide for comparisons / definitions</x:v>
      </x:c>
      <x:c r="E6" s="16" t="str">
        <x:v>4:5 two-slide, optional motion</x:v>
      </x:c>
      <x:c r="F6" s="16" t="str">
        <x:v>Use 'selected' in claim and scope in caption</x:v>
      </x:c>
    </x:row>
    <x:row r="7" ht="58" customHeight="1">
      <x:c r="A7" t="str">
        <x:v>Shape comparison</x:v>
      </x:c>
      <x:c r="B7" t="n">
        <x:v>6</x:v>
      </x:c>
      <x:c r="C7" s="16" t="str">
        <x:v>Two paths; lookalike or contrast</x:v>
      </x:c>
      <x:c r="D7" s="16" t="str">
        <x:v>Fit-each plus common-scale comparison; north up; actual paths only</x:v>
      </x:c>
      <x:c r="E7" s="16" t="str">
        <x:v>4:5 2–3-slide carousel</x:v>
      </x:c>
      <x:c r="F7" s="16" t="str">
        <x:v>Use both modes with visible scale distinctions</x:v>
      </x:c>
    </x:row>
    <x:row r="8" ht="58" customHeight="1">
      <x:c r="A8" t="str">
        <x:v>County gallery</x:v>
      </x:c>
      <x:c r="B8" t="n">
        <x:v>4</x:v>
      </x:c>
      <x:c r="C8" s="16" t="str">
        <x:v>4–6 selected shapes from one county</x:v>
      </x:c>
      <x:c r="D8" s="16" t="str">
        <x:v>Quiet county outline + 5 generous path portraits; county name at top</x:v>
      </x:c>
      <x:c r="E8" s="16" t="str">
        <x:v>4:5 5–6-slide carousel</x:v>
      </x:c>
      <x:c r="F8" s="16" t="str">
        <x:v>County boundary attribution derived from generalized NJOGIS copy</x:v>
      </x:c>
    </x:row>
    <x:row r="9" ht="58" customHeight="1">
      <x:c r="A9" t="str">
        <x:v>Motion</x:v>
      </x:c>
      <x:c r="B9" t="n">
        <x:v>4</x:v>
      </x:c>
      <x:c r="C9" s="16" t="str">
        <x:v>GIS animation; corridor unfolding / tracing / overlay</x:v>
      </x:c>
      <x:c r="D9" s="16" t="str">
        <x:v>9:16 motion from source paths; subtle type; no AI reconstruction</x:v>
      </x:c>
      <x:c r="E9" s="16" t="str">
        <x:v>1080×1920 MP4, 10–25 seconds</x:v>
      </x:c>
      <x:c r="F9" s="16" t="str">
        <x:v>Re-render actual video; don't convert storyboard still into animation</x:v>
      </x:c>
    </x:row>
    <x:row r="12" ht="32" customHeight="1">
      <x:c r="A12" s="11" t="str">
        <x:v>EXPORT GUIDE</x:v>
      </x:c>
      <x:c r="B12" s="11"/>
      <x:c r="C12" s="11"/>
      <x:c r="D12" s="11"/>
      <x:c r="E12" s="11"/>
      <x:c r="F12" s="11"/>
    </x:row>
    <x:row r="13" ht="32" customHeight="1">
      <x:c r="A13" s="11" t="str">
        <x:v>Destination</x:v>
      </x:c>
      <x:c r="B13" s="11" t="str">
        <x:v>Frame</x:v>
      </x:c>
      <x:c r="C13" s="11" t="str">
        <x:v>Recommended production</x:v>
      </x:c>
      <x:c r="D13" s="11" t="str">
        <x:v>Notes</x:v>
      </x:c>
    </x:row>
    <x:row r="14" ht="36" customHeight="1">
      <x:c r="A14" t="str">
        <x:v>Facebook / Instagram feed</x:v>
      </x:c>
      <x:c r="B14" t="str">
        <x:v>4:5</x:v>
      </x:c>
      <x:c r="C14" t="str">
        <x:v>1080×1350 static or carousel</x:v>
      </x:c>
      <x:c r="D14" s="16" t="str">
        <x:v>Keep text and exit badge away from edges; check carousel crop</x:v>
      </x:c>
    </x:row>
    <x:row r="15" ht="36" customHeight="1">
      <x:c r="A15" t="str">
        <x:v>Reels / TikTok / YouTube Shorts</x:v>
      </x:c>
      <x:c r="B15" t="str">
        <x:v>9:16</x:v>
      </x:c>
      <x:c r="C15" t="str">
        <x:v>1080×1920 MP4</x:v>
      </x:c>
      <x:c r="D15" s="16" t="str">
        <x:v>Use 12–25 seconds and keep key labels inside mobile-safe center</x:v>
      </x:c>
    </x:row>
    <x:row r="16" ht="36" customHeight="1">
      <x:c r="A16" t="str">
        <x:v>LinkedIn</x:v>
      </x:c>
      <x:c r="B16" t="str">
        <x:v>4:5 or square</x:v>
      </x:c>
      <x:c r="C16" t="str">
        <x:v>Single data/engineering-facing card</x:v>
      </x:c>
      <x:c r="D16" s="16" t="str">
        <x:v>Lead with methodology and source, less playful</x:v>
      </x:c>
    </x:row>
    <x:row r="17" ht="36" customHeight="1">
      <x:c r="A17" t="str">
        <x:v>X / Bluesky</x:v>
      </x:c>
      <x:c r="B17" t="str">
        <x:v>4:5 or 1:1</x:v>
      </x:c>
      <x:c r="C17" t="str">
        <x:v>Single graphic + link to full map</x:v>
      </x:c>
      <x:c r="D17" s="16" t="str">
        <x:v>One specific fact; shorter contextual copy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5" hidden="0" customWidth="1"/>
    <x:col min="4" max="4" width="70" hidden="0" customWidth="1"/>
    <x:col min="5" max="5" width="25" hidden="0" customWidth="1"/>
    <x:col min="6" max="6" width="75" hidden="0" customWidth="1"/>
    <x:col min="7" max="7" width="52" hidden="0" customWidth="1"/>
  </x:cols>
  <x:sheetData>
    <x:row r="1" ht="32" customHeight="1">
      <x:c r="A1" s="11" t="str">
        <x:v>Post use</x:v>
      </x:c>
      <x:c r="B1" s="11" t="str">
        <x:v>Exit / group</x:v>
      </x:c>
      <x:c r="C1" s="11" t="str">
        <x:v>Source FID</x:v>
      </x:c>
      <x:c r="D1" s="11" t="str">
        <x:v>Publishable wording after review</x:v>
      </x:c>
      <x:c r="E1" s="11" t="str">
        <x:v>Exact / derived measurement</x:v>
      </x:c>
      <x:c r="F1" s="11" t="str">
        <x:v>Caveat / do not imply</x:v>
      </x:c>
      <x:c r="G1" s="11" t="str">
        <x:v>Source</x:v>
      </x:c>
    </x:row>
    <x:row r="2" ht="47" customHeight="1">
      <x:c r="A2" t="str">
        <x:v>Longest selected path</x:v>
      </x:c>
      <x:c r="B2" t="str">
        <x:v>129</x:v>
      </x:c>
      <x:c r="C2" t="str">
        <x:v>3962</x:v>
      </x:c>
      <x:c r="D2" s="16" t="str">
        <x:v>11,571-foot shared connector in our selected Parkway study</x:v>
      </x:c>
      <x:c r="E2" s="16" t="n">
        <x:v>11570.9</x:v>
      </x:c>
      <x:c r="F2" s="16" t="str">
        <x:v>Not the longest physical off-ramp; includes shared approach.</x:v>
      </x:c>
      <x:c r="G2" t="str">
        <x:v>https://www.nj.gov/transportation/refdata/gis/data.shtm</x:v>
      </x:c>
    </x:row>
    <x:row r="3" ht="47" customHeight="1">
      <x:c r="A3" t="str">
        <x:v>Nearly closed loop</x:v>
      </x:c>
      <x:c r="B3" t="str">
        <x:v>100B</x:v>
      </x:c>
      <x:c r="C3" t="str">
        <x:v>5687</x:v>
      </x:c>
      <x:c r="D3" s="16" t="str">
        <x:v>2,122-ft selected path with endpoints about 22 feet apart</x:v>
      </x:c>
      <x:c r="E3" s="16" t="n">
        <x:v>2122.1</x:v>
      </x:c>
      <x:c r="F3" s="16" t="str">
        <x:v>Not necessarily a continuous driveable closed loop.</x:v>
      </x:c>
      <x:c r="G3" t="str">
        <x:v>https://www.nj.gov/transportation/refdata/gis/data.shtm</x:v>
      </x:c>
    </x:row>
    <x:row r="4" ht="47" customHeight="1">
      <x:c r="A4" t="str">
        <x:v>Interchange branch count</x:v>
      </x:c>
      <x:c r="B4" t="str">
        <x:v>89</x:v>
      </x:c>
      <x:c r="C4" t="str">
        <x:v>Multiple</x:v>
      </x:c>
      <x:c r="D4" s="16" t="str">
        <x:v>11 selected paths in our Exit 89 collection</x:v>
      </x:c>
      <x:c r="E4" s="16" t="n">
        <x:v>11</x:v>
      </x:c>
      <x:c r="F4" s="16" t="str">
        <x:v>Not an official count of all physical ramp movements.</x:v>
      </x:c>
      <x:c r="G4" t="str">
        <x:v>https://www.nj.gov/transportation/refdata/gis/data.shtm</x:v>
      </x:c>
    </x:row>
    <x:row r="5" ht="47" customHeight="1">
      <x:c r="A5" t="str">
        <x:v>Straightest ≥500 ft</x:v>
      </x:c>
      <x:c r="B5" t="str">
        <x:v>150</x:v>
      </x:c>
      <x:c r="C5" t="str">
        <x:v>5496</x:v>
      </x:c>
      <x:c r="D5" s="16" t="str">
        <x:v>Path/chord ratio about 1.00035 among selected paths ≥500 ft</x:v>
      </x:c>
      <x:c r="E5" s="16" t="n">
        <x:v>1.000346</x:v>
      </x:c>
      <x:c r="F5" s="16" t="str">
        <x:v>This is a selected-path ranking, not a roadway engineering designation.</x:v>
      </x:c>
      <x:c r="G5" t="str">
        <x:v>https://www.nj.gov/transportation/refdata/gis/data.shtm</x:v>
      </x:c>
    </x:row>
    <x:row r="6" ht="47" customHeight="1">
      <x:c r="A6" t="str">
        <x:v>Shortest selected segment</x:v>
      </x:c>
      <x:c r="B6" t="str">
        <x:v>17</x:v>
      </x:c>
      <x:c r="C6" t="str">
        <x:v>5631</x:v>
      </x:c>
      <x:c r="D6" s="16" t="str">
        <x:v>106-foot GIS entrance feeder segment</x:v>
      </x:c>
      <x:c r="E6" s="16" t="n">
        <x:v>106.5</x:v>
      </x:c>
      <x:c r="F6" s="16" t="str">
        <x:v>Not the entire on-ramp from Sea Isle Boulevard.</x:v>
      </x:c>
      <x:c r="G6" t="str">
        <x:v>https://www.nj.gov/transportation/refdata/gis/data.shtm</x:v>
      </x:c>
    </x:row>
    <x:row r="7" ht="47" customHeight="1">
      <x:c r="A7" t="str">
        <x:v>Tightest modeled local bend</x:v>
      </x:c>
      <x:c r="B7" t="str">
        <x:v>139B</x:v>
      </x:c>
      <x:c r="C7" t="str">
        <x:v>5488</x:v>
      </x:c>
      <x:c r="D7" s="16" t="str">
        <x:v>Estimated 49-ft radius in a 100-foot sampling window</x:v>
      </x:c>
      <x:c r="E7" s="16" t="n">
        <x:v>49.3</x:v>
      </x:c>
      <x:c r="F7" s="16" t="str">
        <x:v>Modeled, spacing sensitive; not a verified engineering radius.</x:v>
      </x:c>
      <x:c r="G7" t="str">
        <x:v>https://www.nj.gov/transportation/refdata/gis/data.shtm</x:v>
      </x:c>
    </x:row>
    <x:row r="8" ht="47" customHeight="1">
      <x:c r="A8" t="str">
        <x:v>Most overall turning</x:v>
      </x:c>
      <x:c r="B8" t="str">
        <x:v>129</x:v>
      </x:c>
      <x:c r="C8" t="str">
        <x:v>3962</x:v>
      </x:c>
      <x:c r="D8" s="16" t="str">
        <x:v>Approximately 465 degrees of cumulative unsigned heading change</x:v>
      </x:c>
      <x:c r="E8" s="16" t="n">
        <x:v>465.1</x:v>
      </x:c>
      <x:c r="F8" s="16" t="str">
        <x:v>Sum of heading changes, not a 465-degree net turn.</x:v>
      </x:c>
      <x:c r="G8" t="str">
        <x:v>https://www.nj.gov/transportation/refdata/gis/data.shtm</x:v>
      </x:c>
    </x:row>
    <x:row r="9" ht="47" customHeight="1">
      <x:c r="A9" t="str">
        <x:v>Distinctive S curve</x:v>
      </x:c>
      <x:c r="B9" t="str">
        <x:v>114</x:v>
      </x:c>
      <x:c r="C9" t="str">
        <x:v>5918</x:v>
      </x:c>
      <x:c r="D9" s="16" t="str">
        <x:v>2733-ft selected southbound entrance shape</x:v>
      </x:c>
      <x:c r="E9" s="16" t="n">
        <x:v>2733</x:v>
      </x:c>
      <x:c r="F9" s="16" t="str">
        <x:v>Shape description is editorial; paths are not classified by NJDOT.</x:v>
      </x:c>
      <x:c r="G9" t="str">
        <x:v>https://www.nj.gov/transportation/refdata/gis/data.shtm</x:v>
      </x:c>
    </x:row>
    <x:row r="10" ht="47" customHeight="1">
      <x:c r="A10" t="str">
        <x:v>Ocean loop</x:v>
      </x:c>
      <x:c r="B10" t="str">
        <x:v>82</x:v>
      </x:c>
      <x:c r="C10" t="str">
        <x:v>5680</x:v>
      </x:c>
      <x:c r="D10" s="16" t="str">
        <x:v>1203-ft southbound exit with endpoints about 36 ft apart</x:v>
      </x:c>
      <x:c r="E10" s="16" t="n">
        <x:v>1202.9</x:v>
      </x:c>
      <x:c r="F10" s="16" t="str">
        <x:v>Not a perfect circle or measured radius.</x:v>
      </x:c>
      <x:c r="G10" t="str">
        <x:v>https://www.nj.gov/transportation/refdata/gis/data.shtm</x:v>
      </x:c>
    </x:row>
    <x:row r="11" ht="47" customHeight="1">
      <x:c r="A11" t="str">
        <x:v>Terminal entrance</x:v>
      </x:c>
      <x:c r="B11" t="str">
        <x:v>0</x:v>
      </x:c>
      <x:c r="C11" t="str">
        <x:v>105602</x:v>
      </x:c>
      <x:c r="D11" s="16" t="str">
        <x:v>2,223-ft GIS northbound terminal entrance</x:v>
      </x:c>
      <x:c r="E11" s="16" t="n">
        <x:v>2223.3</x:v>
      </x:c>
      <x:c r="F11" s="16" t="str">
        <x:v>Do not assume the geometry matches live October 2026 construction.</x:v>
      </x:c>
      <x:c r="G11" t="str">
        <x:v>https://www.nj.gov/transportation/refdata/gis/data.shtm</x:v>
      </x:c>
    </x:row>
  </x:sheetData>
  <x:pageMargins left="0.7" right="0.7" top="0.75" bottom="0.75" header="0.3" footer="0.3"/>
  <x:tableParts count="1">
    <x:tablePart xmlns:r="http://schemas.openxmlformats.org/officeDocument/2006/relationships" r:id="Ra6ea1ffed334443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76" hidden="0" customWidth="1"/>
    <x:col min="4" max="4" width="19" hidden="0" customWidth="1"/>
    <x:col min="5" max="5" width="25" hidden="0" customWidth="1"/>
    <x:col min="6" max="6" width="19" hidden="0" customWidth="1"/>
  </x:cols>
  <x:sheetData>
    <x:row r="1" ht="35" customHeight="1">
      <x:c r="A1" s="3" t="str">
        <x:v>HUMAN EDITORIAL AND PRODUCTION CHECKLIST</x:v>
      </x:c>
      <x:c r="B1" s="3"/>
      <x:c r="C1" s="3"/>
      <x:c r="D1" s="3"/>
      <x:c r="E1" s="3"/>
      <x:c r="F1" s="3"/>
    </x:row>
    <x:row r="4" ht="32" customHeight="1">
      <x:c r="A4" s="11" t="str">
        <x:v>Step</x:v>
      </x:c>
      <x:c r="B4" s="11" t="str">
        <x:v>Who reviews</x:v>
      </x:c>
      <x:c r="C4" s="11" t="str">
        <x:v>Check / acceptance rule</x:v>
      </x:c>
      <x:c r="D4" s="11" t="str">
        <x:v>Pass threshold</x:v>
      </x:c>
      <x:c r="E4" s="11" t="str">
        <x:v>When</x:v>
      </x:c>
      <x:c r="F4" s="11" t="str">
        <x:v>Owner status</x:v>
      </x:c>
    </x:row>
    <x:row r="5" ht="56" customHeight="1">
      <x:c r="A5" t="str">
        <x:v>1 · Source identity</x:v>
      </x:c>
      <x:c r="B5" t="str">
        <x:v>Editor / researcher</x:v>
      </x:c>
      <x:c r="C5" s="16" t="str">
        <x:v>Verify exit, direction, road, and source FID against the inspected GIS record.</x:v>
      </x:c>
      <x:c r="D5" t="str">
        <x:v>Required</x:v>
      </x:c>
      <x:c r="E5" t="str">
        <x:v>Before design</x:v>
      </x:c>
      <x:c r="F5" t="str">
        <x:v>Pending</x:v>
      </x:c>
    </x:row>
    <x:row r="6" ht="56" customHeight="1">
      <x:c r="A6" t="str">
        <x:v>2 · Metric definition</x:v>
      </x:c>
      <x:c r="B6" t="str">
        <x:v>Editor / researcher</x:v>
      </x:c>
      <x:c r="C6" s="16" t="str">
        <x:v>Confirm units, path-versus-interchange distinction, rounding, and any sample qualifiers.</x:v>
      </x:c>
      <x:c r="D6" t="str">
        <x:v>Required</x:v>
      </x:c>
      <x:c r="E6" t="str">
        <x:v>Before copy lock</x:v>
      </x:c>
      <x:c r="F6" t="str">
        <x:v>Pending</x:v>
      </x:c>
    </x:row>
    <x:row r="7" ht="56" customHeight="1">
      <x:c r="A7" t="str">
        <x:v>3 · Geometry fidelity</x:v>
      </x:c>
      <x:c r="B7" t="str">
        <x:v>Designer</x:v>
      </x:c>
      <x:c r="C7" s="16" t="str">
        <x:v>Use original GIS coordinates, north-up as designed; do not smooth to look more like a circle.</x:v>
      </x:c>
      <x:c r="D7" t="str">
        <x:v>Required</x:v>
      </x:c>
      <x:c r="E7" t="str">
        <x:v>Before export</x:v>
      </x:c>
      <x:c r="F7" t="str">
        <x:v>Pending</x:v>
      </x:c>
    </x:row>
    <x:row r="8" ht="56" customHeight="1">
      <x:c r="A8" t="str">
        <x:v>4 · Visual proof</x:v>
      </x:c>
      <x:c r="B8" t="str">
        <x:v>Producer + editor</x:v>
      </x:c>
      <x:c r="C8" s="16" t="str">
        <x:v>Open true-size 4:5 and 9:16 assets on a phone; test legibility, crop, and contrast.</x:v>
      </x:c>
      <x:c r="D8" t="str">
        <x:v>Required</x:v>
      </x:c>
      <x:c r="E8" t="str">
        <x:v>Before scheduling</x:v>
      </x:c>
      <x:c r="F8" t="str">
        <x:v>Pending</x:v>
      </x:c>
    </x:row>
    <x:row r="9" ht="56" customHeight="1">
      <x:c r="A9" t="str">
        <x:v>5 · Alt text</x:v>
      </x:c>
      <x:c r="B9" t="str">
        <x:v>Digital producer</x:v>
      </x:c>
      <x:c r="C9" s="16" t="str">
        <x:v>Describe the diagram, identity, orientation, ramp type and relevant measurement in plain language.</x:v>
      </x:c>
      <x:c r="D9" t="str">
        <x:v>Required</x:v>
      </x:c>
      <x:c r="E9" t="str">
        <x:v>Before scheduling</x:v>
      </x:c>
      <x:c r="F9" t="str">
        <x:v>Pending</x:v>
      </x:c>
    </x:row>
    <x:row r="10" ht="56" customHeight="1">
      <x:c r="A10" t="str">
        <x:v>6 · PBS / NJ PBS design</x:v>
      </x:c>
      <x:c r="B10" t="str">
        <x:v>Graphics producer</x:v>
      </x:c>
      <x:c r="C10" s="16" t="str">
        <x:v>Use approved station marks/fonts/assets; avoid recreating or altering PBS logos.</x:v>
      </x:c>
      <x:c r="D10" t="str">
        <x:v>Required</x:v>
      </x:c>
      <x:c r="E10" t="str">
        <x:v>Before scheduling</x:v>
      </x:c>
      <x:c r="F10" t="str">
        <x:v>Pending</x:v>
      </x:c>
    </x:row>
    <x:row r="11" ht="56" customHeight="1">
      <x:c r="A11" t="str">
        <x:v>7 · Evergreen check</x:v>
      </x:c>
      <x:c r="B11" t="str">
        <x:v>Editor</x:v>
      </x:c>
      <x:c r="C11" s="16" t="str">
        <x:v>Check any road change or construction likely to affect the 2025 GIS portrayal; maintain snapshot date.</x:v>
      </x:c>
      <x:c r="D11" t="str">
        <x:v>Required</x:v>
      </x:c>
      <x:c r="E11" t="str">
        <x:v>Within 1 week of publish</x:v>
      </x:c>
      <x:c r="F11" t="str">
        <x:v>Pending</x:v>
      </x:c>
    </x:row>
    <x:row r="12" ht="56" customHeight="1">
      <x:c r="A12" t="str">
        <x:v>8 · Publishing handoff</x:v>
      </x:c>
      <x:c r="B12" t="str">
        <x:v>Digital producer</x:v>
      </x:c>
      <x:c r="C12" s="16" t="str">
        <x:v>Adapt copy by platform; link to atlas; log final URL, date, engagement and any corrections.</x:v>
      </x:c>
      <x:c r="D12" t="str">
        <x:v>Required</x:v>
      </x:c>
      <x:c r="E12" t="str">
        <x:v>After approval</x:v>
      </x:c>
      <x:c r="F12" t="str">
        <x:v>Pending</x:v>
      </x:c>
    </x:row>
  </x:sheetData>
  <x:mergeCells>
    <x:mergeCell ref="A1:F1"/>
  </x:mergeCells>
  <x:pageMargins left="0.7" right="0.7" top="0.75" bottom="0.75" header="0.3" footer="0.3"/>
</x:worksheet>
</file>